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1. Ham Veri (Raw Data)" sheetId="2" state="visible" r:id="rId4"/>
    <sheet name="2. KPI Hesaplamalari" sheetId="3" state="visible" r:id="rId5"/>
    <sheet name="3. Analiz ve Gerekce" sheetId="4" state="visible" r:id="rId6"/>
    <sheet name="4. Sonuc ve Oneriler" sheetId="5" state="visible" r:id="rId7"/>
    <sheet name="5. PQ Veri Kaynagi" sheetId="6" state="visible" r:id="rId8"/>
  </sheets>
  <calcPr fullCalcOnLoad="1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<sst xmlns="http://schemas.openxmlformats.org/spreadsheetml/2006/main" count="278" uniqueCount="196">
  <si>
    <t xml:space="preserve">ARÇELİK A.Ş.  —  KPI Dashboard</t>
  </si>
  <si>
    <t xml:space="preserve">Finansal Performans Karşılaştırması  |  2024 vs 2025  |  Kaynak: KAP Konsolide Tablolar</t>
  </si>
  <si>
    <t xml:space="preserve">✅</t>
  </si>
  <si>
    <t xml:space="preserve">Brüt Kar Marjı</t>
  </si>
  <si>
    <t xml:space="preserve">❌</t>
  </si>
  <si>
    <t xml:space="preserve">Net Kar Marjı</t>
  </si>
  <si>
    <t xml:space="preserve">⚠️</t>
  </si>
  <si>
    <t xml:space="preserve">DSO</t>
  </si>
  <si>
    <t xml:space="preserve">CCC</t>
  </si>
  <si>
    <t xml:space="preserve">A/P Devir Oranı</t>
  </si>
  <si>
    <t xml:space="preserve">(Gross Margin)</t>
  </si>
  <si>
    <t xml:space="preserve">(Net Margin)</t>
  </si>
  <si>
    <t xml:space="preserve">(Days Sales Outstanding)</t>
  </si>
  <si>
    <t xml:space="preserve">(Cash Conversion Cycle)</t>
  </si>
  <si>
    <t xml:space="preserve">(A/P Turnover)</t>
  </si>
  <si>
    <t xml:space="preserve">💡  ANAHTAR BULGULAR / KEY INSIGHTS</t>
  </si>
  <si>
    <t xml:space="preserve">Brüt marj iyileşti (%27.6 → %28.8)</t>
  </si>
  <si>
    <t xml:space="preserve">Üretim verimliliği güçleniyor — temel iş sağlıklı.</t>
  </si>
  <si>
    <t xml:space="preserve">Net zarar derinleşti (-2.9 → -9.8 milyar TL)</t>
  </si>
  <si>
    <t xml:space="preserve">47.6 milyar TL finansman gideri faaliyet karını eritiyor.</t>
  </si>
  <si>
    <t xml:space="preserve">Cari oran 0.97 (1'in altında)</t>
  </si>
  <si>
    <t xml:space="preserve">Kısa vadeli yükümlülükler kısa vadeli varlıkları aştı — likidite riski.</t>
  </si>
  <si>
    <t xml:space="preserve">Kısa vadeli borç +%71 arttı</t>
  </si>
  <si>
    <t xml:space="preserve">67 → 115 milyar TL. Faiz baskısı sürdürülemez seviyede.</t>
  </si>
  <si>
    <t xml:space="preserve">CCC kısaldı (43 → 41.7 gün)</t>
  </si>
  <si>
    <t xml:space="preserve">İşletme sermayesi verimliliği hafif iyileşti.</t>
  </si>
  <si>
    <t xml:space="preserve">Stok süresi 88 gün (yüksek)</t>
  </si>
  <si>
    <t xml:space="preserve">Sektör ortalaması 60-70 gün — 18 milyar TL nakit serbest kalabilir.</t>
  </si>
  <si>
    <t xml:space="preserve">Hazırlayan: Iryna  |  Kaynak: ARCLK 2025 Konsolide Finansal Tablolar (KAP)  |  Birim: Bin TL ve %</t>
  </si>
  <si>
    <t xml:space="preserve">KPI</t>
  </si>
  <si>
    <t xml:space="preserve">2024</t>
  </si>
  <si>
    <t xml:space="preserve">2025</t>
  </si>
  <si>
    <t xml:space="preserve">Metric</t>
  </si>
  <si>
    <t xml:space="preserve">DIO (Stok)</t>
  </si>
  <si>
    <t xml:space="preserve">DSO (Alacak)</t>
  </si>
  <si>
    <t xml:space="preserve">DPO (Borç)</t>
  </si>
  <si>
    <t xml:space="preserve">Kategori</t>
  </si>
  <si>
    <t xml:space="preserve">Tutar (Bin TL)</t>
  </si>
  <si>
    <t xml:space="preserve">Satışların Maliyeti (71.2%)</t>
  </si>
  <si>
    <t xml:space="preserve">Pazarlama Giderleri (19.8%)</t>
  </si>
  <si>
    <t xml:space="preserve">G&amp;A + Ar-Ge (7.6%)</t>
  </si>
  <si>
    <t xml:space="preserve">Faaliyet Karı (2.0%)</t>
  </si>
  <si>
    <t xml:space="preserve">Kalem</t>
  </si>
  <si>
    <t xml:space="preserve">2024 (Milyar TL)</t>
  </si>
  <si>
    <t xml:space="preserve">2025 (Milyar TL)</t>
  </si>
  <si>
    <t xml:space="preserve">Hasılat</t>
  </si>
  <si>
    <t xml:space="preserve">Brüt Kar</t>
  </si>
  <si>
    <t xml:space="preserve">Faaliyet Karı</t>
  </si>
  <si>
    <t xml:space="preserve">Net Kar (Zarar)</t>
  </si>
  <si>
    <t xml:space="preserve">ARÇELİK A.Ş. — Finansal Veriler / Financial Data</t>
  </si>
  <si>
    <t xml:space="preserve">Kaynak: ARCLK 2025 Yılsonu Konsolide Finansal Tablolar (KAP) | Birim: Bin TL</t>
  </si>
  <si>
    <t xml:space="preserve">Kalem / Item</t>
  </si>
  <si>
    <t xml:space="preserve">İngilizce / English</t>
  </si>
  <si>
    <t xml:space="preserve">GELİR TABLOSU</t>
  </si>
  <si>
    <t xml:space="preserve">INCOME STATEMENT</t>
  </si>
  <si>
    <t xml:space="preserve">Revenue</t>
  </si>
  <si>
    <t xml:space="preserve">Satışların Maliyeti (-)</t>
  </si>
  <si>
    <t xml:space="preserve">Cost of Goods Sold (COGS)</t>
  </si>
  <si>
    <t xml:space="preserve">Gross Profit</t>
  </si>
  <si>
    <t xml:space="preserve">Pazarlama Giderleri (-)</t>
  </si>
  <si>
    <t xml:space="preserve">Marketing Expenses</t>
  </si>
  <si>
    <t xml:space="preserve">Genel Yönetim Giderleri (-)</t>
  </si>
  <si>
    <t xml:space="preserve">G&amp;A Expenses</t>
  </si>
  <si>
    <t xml:space="preserve">Ar-Ge Giderleri (-)</t>
  </si>
  <si>
    <t xml:space="preserve">R&amp;D Expenses</t>
  </si>
  <si>
    <t xml:space="preserve">Esas Faaliyet Karı</t>
  </si>
  <si>
    <t xml:space="preserve">Operating Profit</t>
  </si>
  <si>
    <t xml:space="preserve">Finansman Giderleri (-)</t>
  </si>
  <si>
    <t xml:space="preserve">Financing Expenses</t>
  </si>
  <si>
    <t xml:space="preserve">Net Dönem Karı / Zararı</t>
  </si>
  <si>
    <t xml:space="preserve">Net Income (Loss)</t>
  </si>
  <si>
    <t xml:space="preserve">BİLANÇO</t>
  </si>
  <si>
    <t xml:space="preserve">BALANCE SHEET</t>
  </si>
  <si>
    <t xml:space="preserve">Nakit ve Nakit Benzerleri</t>
  </si>
  <si>
    <t xml:space="preserve">Cash &amp; Cash Equivalents</t>
  </si>
  <si>
    <t xml:space="preserve">Ticari Alacaklar (KV)</t>
  </si>
  <si>
    <t xml:space="preserve">Trade Receivables (ST)</t>
  </si>
  <si>
    <t xml:space="preserve">Stoklar</t>
  </si>
  <si>
    <t xml:space="preserve">Inventory</t>
  </si>
  <si>
    <t xml:space="preserve">Dönen Varlıklar Toplamı</t>
  </si>
  <si>
    <t xml:space="preserve">Total Current Assets</t>
  </si>
  <si>
    <t xml:space="preserve">Toplam Varlıklar</t>
  </si>
  <si>
    <t xml:space="preserve">Total Assets</t>
  </si>
  <si>
    <t xml:space="preserve">Ticari Borçlar (KV)</t>
  </si>
  <si>
    <t xml:space="preserve">Trade Payables (ST)</t>
  </si>
  <si>
    <t xml:space="preserve">Kısa Vadeli Borçlanmalar</t>
  </si>
  <si>
    <t xml:space="preserve">Short-Term Debt</t>
  </si>
  <si>
    <t xml:space="preserve">UV Borçların KV Kısmı</t>
  </si>
  <si>
    <t xml:space="preserve">Current portion of LT Debt</t>
  </si>
  <si>
    <t xml:space="preserve">KV Yükümlülükler Toplamı</t>
  </si>
  <si>
    <t xml:space="preserve">Total Current Liabilities</t>
  </si>
  <si>
    <t xml:space="preserve">Uzun Vadeli Borçlanmalar</t>
  </si>
  <si>
    <t xml:space="preserve">Long-Term Debt</t>
  </si>
  <si>
    <t xml:space="preserve">Toplam Yükümlülükler</t>
  </si>
  <si>
    <t xml:space="preserve">Total Liabilities</t>
  </si>
  <si>
    <t xml:space="preserve">Toplam Özkaynaklar</t>
  </si>
  <si>
    <t xml:space="preserve">Total Equity</t>
  </si>
  <si>
    <t xml:space="preserve">Renk Kodu / Color Code:</t>
  </si>
  <si>
    <t xml:space="preserve">• Mavi = Sabit girdi / Hardcoded input</t>
  </si>
  <si>
    <t xml:space="preserve">• Yeşil = Diğer sayfadan referans / Cross-sheet reference</t>
  </si>
  <si>
    <t xml:space="preserve">• Siyah = Bu sayfadaki formül / Local formula</t>
  </si>
  <si>
    <t xml:space="preserve">ARÇELİK A.Ş. — KPI Hesaplamaları / KPI Calculations</t>
  </si>
  <si>
    <t xml:space="preserve">Tüm değerler '1. Ham Veri' sayfasından canlı formüllerle hesaplanmıştır</t>
  </si>
  <si>
    <t xml:space="preserve">#</t>
  </si>
  <si>
    <t xml:space="preserve">KPI Adı / KPI Name</t>
  </si>
  <si>
    <t xml:space="preserve">Formül / Formula</t>
  </si>
  <si>
    <t xml:space="preserve">YoY Değişim</t>
  </si>
  <si>
    <t xml:space="preserve">Brüt Kar Marjı (Gross Profit Margin)</t>
  </si>
  <si>
    <t xml:space="preserve">Brüt Kar / Hasılat × 100</t>
  </si>
  <si>
    <t xml:space="preserve">Net Kar Marjı (Net Profit Margin)</t>
  </si>
  <si>
    <t xml:space="preserve">Net Kar / Hasılat × 100</t>
  </si>
  <si>
    <t xml:space="preserve">İşletme Sermayesi Bileşenleri (Working Capital Cycle Components)</t>
  </si>
  <si>
    <t xml:space="preserve">  Stok Devir Süresi / DIO</t>
  </si>
  <si>
    <t xml:space="preserve">Stoklar / SMM × 365</t>
  </si>
  <si>
    <t xml:space="preserve">Alacak Tahsil Süresi / DSO</t>
  </si>
  <si>
    <t xml:space="preserve">Tic. Alacaklar / Hasılat × 365</t>
  </si>
  <si>
    <t xml:space="preserve">  Borç Ödeme Süresi / DPO</t>
  </si>
  <si>
    <t xml:space="preserve">Tic. Borçlar / SMM × 365</t>
  </si>
  <si>
    <t xml:space="preserve">Nakit Dönüşüm Döngüsü / CCC</t>
  </si>
  <si>
    <t xml:space="preserve">DIO + DSO − DPO</t>
  </si>
  <si>
    <t xml:space="preserve">Ticari Borç Devir Oranı (A/P Turnover)</t>
  </si>
  <si>
    <t xml:space="preserve">SMM / Tic. Borçlar</t>
  </si>
  <si>
    <t xml:space="preserve">KPI Seçim Gerekçeleri ve Bulgular</t>
  </si>
  <si>
    <t xml:space="preserve">Her KPI için: ne ölçer, neden seçildi, Arçelik için ne anlama geliyor, ne yapılmalı</t>
  </si>
  <si>
    <t xml:space="preserve">Neden Seçildi (Why)</t>
  </si>
  <si>
    <t xml:space="preserve">Bulgu ve Aksiyon (Insight &amp; Action)</t>
  </si>
  <si>
    <t xml:space="preserve">Brüt Kar Marjı
(Gross Profit Margin)</t>
  </si>
  <si>
    <t xml:space="preserve">Hasılatın ne kadarının üretim sonrası kar olarak kaldığını gösterir. Üretim verimliliği ve fiyatlandırma gücünün en temel ölçüsüdür. Kârlılığı iyileştirmek isteyen bir şirket için ilk bakılacak orandır.</t>
  </si>
  <si>
    <t xml:space="preserve">Arçelik 2024'te %27.6 → 2025'te %28.8 (+1.2 pp) iyileşme gösterdi. Üretim maliyeti yönetiminde başarı sağlandığını gösteriyor. AKSİYON: Hammadde tedarik anlaşmaları güvence altına alınmalı, ölçek ekonomilerinden yararlanılmalı.</t>
  </si>
  <si>
    <t xml:space="preserve">Net Kar Marjı
(Net Profit Margin)</t>
  </si>
  <si>
    <t xml:space="preserve">Tüm gider, vergi ve finansman maliyetleri sonrası nihai kârlılığı gösterir. Asıl 'alt çizgi' performans göstergesidir. Brüt kâr iyi olsa bile NPM zarar gösteriyorsa sorun operasyonda değil, OPEX/finansman/vergidedir.</t>
  </si>
  <si>
    <t xml:space="preserve">2024: -%0.52 → 2025: -%1.87 — KÖTÜLEŞTİ ❌ Brüt marj iyileşmesine rağmen net marj kötüleşti. Sebep: 47.6 milyar TL finansman gideri (Türkiye'deki yüksek faiz/enflasyon ortamı). AKSİYON: Kısa vadeli borç yeniden yapılandırılmalı; pazarlama giderleri (hasılatın %19.8'i) gözden geçirilmeli.</t>
  </si>
  <si>
    <t xml:space="preserve">Alacak Tahsil Süresi
(DSO)</t>
  </si>
  <si>
    <t xml:space="preserve">Müşterilerden parayı kaç günde tahsil ettiğimizi gösterir. Yüksek DSO = nakit alacaklarda kilitli = işletme sermayesi sıkışıklığı. Nakit seviyesini iyileştirmek için doğrudan müdahale edilecek metriklerden biri.</t>
  </si>
  <si>
    <t xml:space="preserve">2024: 79.1 gün → 2025: 81.2 gün (+2.1 gün) — hafif kötüleşme. Yaklaşık 6 milyar TL daha fazla nakit alacaklarda kilitli. AKSİYON: Tahsilat süreçleri sıkılaştırılmalı, erken ödeme indirimi (early payment discount) sunulmalı, kredi politikası gözden geçirilmeli.</t>
  </si>
  <si>
    <t xml:space="preserve">Nakit Dönüşüm Döngüsü
(CCC)</t>
  </si>
  <si>
    <t xml:space="preserve">DIO + DSO − DPO. Bir liranın stoktan başlayıp tekrar nakit olarak geri dönmesi kaç gün sürüyor? Nakit verimliliğinin özet metriği. Düşük CCC = az işletme sermayesi ihtiyacı = daha çok serbest nakit.</t>
  </si>
  <si>
    <t xml:space="preserve">2024: 43.0 gün → 2025: 41.7 gün (-1.3 gün) — hafif iyileşme ✅ Bileşenler: Stok 88g, Alacak 81g, Borç 127g. AKSİYON: Stok 88 gün çok yüksek (rakip aralığı 60-70 gün); talep tahminleme iyileştirilmeli, JIT envanter uygulanmalı.</t>
  </si>
  <si>
    <t xml:space="preserve">Ticari Borç Devir Oranı
(A/P Turnover)</t>
  </si>
  <si>
    <t xml:space="preserve">Tedarikçilere yılda kaç kez ödeme yapıldığını gösterir. Düşük oran = uzun ödeme vadesi = nakit daha uzun süre şirkette kalıyor. Çok düşükse tedarikçi ilişkileri zedelenebilir; çok yüksekse vade pazarlık gücü kullanılmıyor demektir.</t>
  </si>
  <si>
    <t xml:space="preserve">2024: 3.03x → 2025: 2.86x — yavaşladı (daha geç ödüyor). Stratejik açıdan: kriz döneminde nakit korumak için tedarikçi vadesi uzatılmış olabilir. AKSİYON: DPO 127 gün (sektör ~80-100 gün); uzun vadede tedarikçi güvenini bozabilir, optimum nokta belirlenmeli.</t>
  </si>
  <si>
    <t xml:space="preserve">Sonuç ve Stratejik Öneriler</t>
  </si>
  <si>
    <t xml:space="preserve">Arçelik A.Ş. — 2024 / 2025 KPI Karşılaştırması</t>
  </si>
  <si>
    <t xml:space="preserve">1. YÖNETİCİ ÖZETİ / EXECUTIVE SUMMARY</t>
  </si>
  <si>
    <t xml:space="preserve">Arçelik'in 2025 yılı analizinde, brüt kârlılık (%28.8) ve nakit pozisyonu güçlü (97.8 milyar TL); ancak NET ZARAR derinleşti (-9.8 milyar TL, 2024'te -2.9 milyar TL idi). Bu durumun ana sebebi operasyonel verimsizlik değil, finansman giderleri (47.6 milyar TL) ve yüksek pazarlama maliyetleridir (hasılatın %19.8'i).
ÖZET DURUM: Sağlam üretim verimliliğiyle çalışan ama yüksek faiz ortamından dolayı net olarak zarar eden bir şirket görüyoruz. Önemli sinyal: Cari oran 0.97 (1'in altında!) — kısa vadeli yükümlülükleri kısa vadeli varlıklarla karşılayamıyor. Likidite riski mevcut.</t>
  </si>
  <si>
    <t xml:space="preserve">2. KÂRLILIK BULGULARI / PROFITABILITY FINDINGS</t>
  </si>
  <si>
    <t xml:space="preserve">✅ Brüt Marj iyileşti</t>
  </si>
  <si>
    <t xml:space="preserve">%27.6 → %28.8 (+1.2 pp). Üretim/maliyet yönetimi başarılı.</t>
  </si>
  <si>
    <t xml:space="preserve">❌ Net Marj kötüleşti</t>
  </si>
  <si>
    <t xml:space="preserve">-%0.52 → -%1.87. Brüt kâr finansman giderlerine yenildi.</t>
  </si>
  <si>
    <t xml:space="preserve">⚠️ Faaliyet/Net farkı kritik</t>
  </si>
  <si>
    <t xml:space="preserve">Faaliyet kârı 10.5 milyar TL → Net zarar 9.8 milyar TL. Fark (20.3 milyar TL) finansman giderlerinden (47.6 milyar TL) kaynaklanıyor; finansman gelirleri ve diğer kalemler (ham veride yok) bunun bir kısmını dengeliyor.</t>
  </si>
  <si>
    <t xml:space="preserve">⚠️ Pazarlama giderleri yüksek</t>
  </si>
  <si>
    <t xml:space="preserve">Hasılatın %19.8'i pazarlamaya gidiyor (104 milyar TL). Sektör ortalamasının üzerinde.</t>
  </si>
  <si>
    <t xml:space="preserve">3. NAKİT/LİKİDİTE BULGULARI / CASH &amp; LIQUIDITY FINDINGS</t>
  </si>
  <si>
    <t xml:space="preserve">✅ Nakit pozisyonu güçlendi</t>
  </si>
  <si>
    <t xml:space="preserve">66.5 milyar TL → 97.8 milyar TL (+47%). Likit varlıklar arttı.</t>
  </si>
  <si>
    <t xml:space="preserve">❌ Kısa vadeli borç patladı</t>
  </si>
  <si>
    <t xml:space="preserve">67.3 → 115.0 milyar TL (+71%). Faiz baskısı arttı.</t>
  </si>
  <si>
    <t xml:space="preserve">❌ Cari oran 1'in altında</t>
  </si>
  <si>
    <t xml:space="preserve">330.7 / 340.7 = 0.97. KV varlıklar KV borçları karşılamıyor.</t>
  </si>
  <si>
    <t xml:space="preserve">✅ CCC kısaldı</t>
  </si>
  <si>
    <t xml:space="preserve">43 gün → 41.7 gün. İşletme sermayesi verimliliği biraz iyileşti.</t>
  </si>
  <si>
    <t xml:space="preserve">⚠️ Stok süresi yüksek</t>
  </si>
  <si>
    <t xml:space="preserve">88 gün (sektör ~60-70). 90 milyar TL nakit stoklarda kilitli.</t>
  </si>
  <si>
    <t xml:space="preserve">4. ÖNERİLER / RECOMMENDATIONS</t>
  </si>
  <si>
    <t xml:space="preserve">1. Borç yapısını yeniden düzenle</t>
  </si>
  <si>
    <t xml:space="preserve">115 milyar TL'lik KV borcun bir kısmı uzun vadeye dönüştürülmeli. Tahvil ihracı veya sendikasyon kredisi araştırılmalı. Cari oranın 1'in üstüne çıkarılması öncelik.</t>
  </si>
  <si>
    <t xml:space="preserve">2. Pazarlama harcamalarını gözden geçir</t>
  </si>
  <si>
    <t xml:space="preserve">Pazarlama hasılatın %19.8'i. ROI analizi yapılmalı; düşük getirili kanallar azaltılıp dijitale yönelim hızlandırılmalı. Hedef: 2 puan azaltma → +10 milyar TL faaliyet kârı.</t>
  </si>
  <si>
    <t xml:space="preserve">3. Stok yönetimini iyileştir</t>
  </si>
  <si>
    <t xml:space="preserve">88 günlük stok süresi sektör ortalamasının üzerinde. Talep tahminleme, JIT envanter ve SKU sadeleştirme ile 70 güne indirme hedeflenmeli. Serbest kalacak nakit: ~18 milyar TL.</t>
  </si>
  <si>
    <t xml:space="preserve">4. Tahsilat süreçlerini sıkılaştır</t>
  </si>
  <si>
    <t xml:space="preserve">DSO 81 → 70 güne indirilirse ~16 milyar TL nakit serbest kalır. Erken ödeme indirimi (örn. 2/10 net 30), otomatik fatura, kredi değerlendirme süreçleri.</t>
  </si>
  <si>
    <t xml:space="preserve">5. Kur ve faiz riskini hedge et</t>
  </si>
  <si>
    <t xml:space="preserve">Net zararın çoğu finansman kaynaklı. Döviz pozisyonu ve faiz riski için türev araçlarla (forward, swap) hedge stratejisi gözden geçirilmeli.</t>
  </si>
  <si>
    <t xml:space="preserve">Hazırlayan: Iryna  |  Şirket: Arçelik A.Ş. (BIST: ARCLK)  |  Veri Dönemi: 2024-2025 Yılsonu</t>
  </si>
  <si>
    <t xml:space="preserve">Power Query Veri Kaynağı / Data Source</t>
  </si>
  <si>
    <t xml:space="preserve">Bu tablo Power Query tarafından kullanılmak üzere düz formatta hazırlanmıştır</t>
  </si>
  <si>
    <t xml:space="preserve">Item_TR</t>
  </si>
  <si>
    <t xml:space="preserve">Item_EN</t>
  </si>
  <si>
    <t xml:space="preserve">Year_2025</t>
  </si>
  <si>
    <t xml:space="preserve">Year_2024</t>
  </si>
  <si>
    <t xml:space="preserve">Category</t>
  </si>
  <si>
    <t xml:space="preserve">Income Statement</t>
  </si>
  <si>
    <t xml:space="preserve">Balance Sheet</t>
  </si>
  <si>
    <t xml:space="preserve">Power Query Talimatları</t>
  </si>
  <si>
    <t xml:space="preserve">1. Excel'de Veri sekmesine git → 'Tablodan/Aralıktan' → tbl_FinancialData seç</t>
  </si>
  <si>
    <t xml:space="preserve">2. Power Query Editor açılır</t>
  </si>
  <si>
    <t xml:space="preserve">3. Year_2025 ve Year_2024 sütunlarını seç → Sağ tık → 'Sütunları Kaldırma Pivotu' (Unpivot)</t>
  </si>
  <si>
    <t xml:space="preserve">4. 'Attribute' sütununu 'Year' olarak yeniden adlandır, 'Value' sütununu 'Amount' yap</t>
  </si>
  <si>
    <t xml:space="preserve">5. Year sütunundan 'Year_' önekini kaldır (Değerleri Değiştir)</t>
  </si>
  <si>
    <t xml:space="preserve">6. Year sütunu türünü Tam Sayı yap</t>
  </si>
  <si>
    <t xml:space="preserve">7. Ana Sayfa → Kapat ve Yükle → Yeni sayfaya yükle</t>
  </si>
  <si>
    <t xml:space="preserve">→ Sonuç: 42 satırlık tek bir uzun tablo (her satır = bir kalem-yıl kombinasyonu)</t>
  </si>
  <si>
    <t xml:space="preserve">→ Result: 42-row long table (each row = one item-year combination)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</si>
</sst>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%"/>
    <numFmt numFmtId="166" formatCode="0.0&quot; gün&quot;"/>
    <numFmt numFmtId="167" formatCode="0.00\x"/>
    <numFmt numFmtId="168" formatCode="\+0.00&quot; pp&quot;;\-0.00&quot; pp&quot;;\-"/>
    <numFmt numFmtId="169" formatCode="\+0.0&quot; gün&quot;;\-0.0&quot; gün&quot;;\-"/>
    <numFmt numFmtId="170" formatCode="\+0.00\x;\-0.00\x;\-"/>
    <numFmt numFmtId="171" formatCode="0.0"/>
    <numFmt numFmtId="172" formatCode="#,##0"/>
    <numFmt numFmtId="173" formatCode="0.0%"/>
    <numFmt numFmtId="174" formatCode="#,##0;\(#,##0\);\-"/>
    <numFmt numFmtId="175" formatCode="0.00%;\(0.00%\);\-"/>
    <numFmt numFmtId="176" formatCode="\+0.0;\-0.0;\-"/>
    <numFmt numFmtId="177" formatCode="\+0.00;\-0.00;\-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11"/>
      <color rgb="FFE8F5E9"/>
      <name val="Arial"/>
      <family val="0"/>
      <charset val="1"/>
    </font>
    <font>
      <sz val="14"/>
      <color rgb="FF000000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b val="true"/>
      <sz val="20"/>
      <color rgb="FF1B5E20"/>
      <name val="Arial"/>
      <family val="0"/>
      <charset val="1"/>
    </font>
    <font>
      <b val="true"/>
      <sz val="9"/>
      <color rgb="FF595959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1B5E2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1B5E2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2E7D32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sz val="10"/>
      <color rgb="FF2E7D32"/>
      <name val="Arial"/>
      <family val="0"/>
      <charset val="1"/>
    </font>
    <font>
      <b val="true"/>
      <sz val="14"/>
      <color rgb="FF1B5E20"/>
      <name val="Arial"/>
      <family val="0"/>
      <charset val="1"/>
    </font>
    <font>
      <b val="true"/>
      <sz val="12"/>
      <color rgb="FF1B5E2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E8F5E9"/>
        <bgColor rgb="FFF1F8E9"/>
      </patternFill>
    </fill>
    <fill>
      <patternFill patternType="solid">
        <fgColor rgb="FFA5D6A7"/>
        <bgColor rgb="FFC0C0C0"/>
      </patternFill>
    </fill>
    <fill>
      <patternFill patternType="solid">
        <fgColor rgb="FFF1F8E9"/>
        <bgColor rgb="FFE8F5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5D6A7"/>
      </left>
      <right style="thin">
        <color rgb="FFA5D6A7"/>
      </right>
      <top style="thin">
        <color rgb="FFA5D6A7"/>
      </top>
      <bottom style="thin">
        <color rgb="FFA5D6A7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3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9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9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2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5" fontId="2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2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1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3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B5E2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779637"/>
      <rgbColor rgb="FF800080"/>
      <rgbColor rgb="FF4672A8"/>
      <rgbColor rgb="FFC0C0C0"/>
      <rgbColor rgb="FF808080"/>
      <rgbColor rgb="FF93A9CE"/>
      <rgbColor rgb="FFC0504D"/>
      <rgbColor rgb="FFF1F8E9"/>
      <rgbColor rgb="FFE8F5E9"/>
      <rgbColor rgb="FF660066"/>
      <rgbColor rgb="FFFF8080"/>
      <rgbColor rgb="FF2E5F99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CCFFFF"/>
      <rgbColor rgb="FFA5D6A7"/>
      <rgbColor rgb="FFFFFF99"/>
      <rgbColor rgb="FF99CCFF"/>
      <rgbColor rgb="FFFF99CC"/>
      <rgbColor rgb="FFCC99FF"/>
      <rgbColor rgb="FFFFCC99"/>
      <rgbColor rgb="FF397BCA"/>
      <rgbColor rgb="FF33CCCC"/>
      <rgbColor rgb="FF9CC745"/>
      <rgbColor rgb="FFFFCC00"/>
      <rgbColor rgb="FFFF9900"/>
      <rgbColor rgb="FFFF6600"/>
      <rgbColor rgb="FF7B57A7"/>
      <rgbColor rgb="FF878787"/>
      <rgbColor rgb="FF003366"/>
      <rgbColor rgb="FF2E7D32"/>
      <rgbColor rgb="FF003300"/>
      <rgbColor rgb="FF333300"/>
      <rgbColor rgb="FF9C2F2C"/>
      <rgbColor rgb="FFCE3A36"/>
      <rgbColor rgb="FF5E437F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Kârlılık Marjları | Profitability 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DASHBOARD!B80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DASHBOARD!$A$81:$A$82</c:f>
              <c:strCache>
                <c:ptCount val="2"/>
                <c:pt idx="0">
                  <c:v>Brüt Kar Marjı</c:v>
                </c:pt>
                <c:pt idx="1">
                  <c:v>Net Kar Marjı</c:v>
                </c:pt>
              </c:strCache>
            </c:strRef>
          </c:cat>
          <c:val>
            <c:numRef>
              <c:f>DASHBOARD!$B$81:$B$82</c:f>
              <c:numCache>
                <c:formatCode>0.00%</c:formatCode>
                <c:ptCount val="2"/>
                <c:pt idx="0">
                  <c:v>0.275586339988697</c:v>
                </c:pt>
                <c:pt idx="1">
                  <c:v>-0.00515061810337356</c:v>
                </c:pt>
              </c:numCache>
            </c:numRef>
          </c:val>
        </c:ser>
        <c:ser>
          <c:idx val="1"/>
          <c:order val="1"/>
          <c:tx>
            <c:strRef>
              <c:f>DASHBOARD!C80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DASHBOARD!$A$81:$A$82</c:f>
              <c:strCache>
                <c:ptCount val="2"/>
                <c:pt idx="0">
                  <c:v>Brüt Kar Marjı</c:v>
                </c:pt>
                <c:pt idx="1">
                  <c:v>Net Kar Marjı</c:v>
                </c:pt>
              </c:strCache>
            </c:strRef>
          </c:cat>
          <c:val>
            <c:numRef>
              <c:f>DASHBOARD!$C$81:$C$82</c:f>
              <c:numCache>
                <c:formatCode>0.00%</c:formatCode>
                <c:ptCount val="2"/>
                <c:pt idx="0">
                  <c:v>0.287810034132187</c:v>
                </c:pt>
                <c:pt idx="1">
                  <c:v>-0.0187033590100676</c:v>
                </c:pt>
              </c:numCache>
            </c:numRef>
          </c:val>
        </c:ser>
        <c:gapWidth val="100"/>
        <c:overlap val="0"/>
        <c:axId val="95381013"/>
        <c:axId val="6292681"/>
      </c:barChart>
      <c:catAx>
        <c:axId val="953810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92681"/>
        <c:crosses val="autoZero"/>
        <c:auto val="1"/>
        <c:lblAlgn val="ctr"/>
        <c:lblOffset val="100"/>
        <c:noMultiLvlLbl val="0"/>
      </c:catAx>
      <c:valAx>
        <c:axId val="62926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Marj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38101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İşletme Sermayesi | Working Capital Cycle (gün)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DASHBOARD!B90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4672a8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DASHBOARD!$A$91:$A$94</c:f>
              <c:strCache>
                <c:ptCount val="4"/>
                <c:pt idx="0">
                  <c:v>DIO (Stok)</c:v>
                </c:pt>
                <c:pt idx="1">
                  <c:v>DSO (Alacak)</c:v>
                </c:pt>
                <c:pt idx="2">
                  <c:v>DPO (Borç)</c:v>
                </c:pt>
                <c:pt idx="3">
                  <c:v>CCC</c:v>
                </c:pt>
              </c:strCache>
            </c:strRef>
          </c:cat>
          <c:val>
            <c:numRef>
              <c:f>DASHBOARD!$B$91:$B$94</c:f>
              <c:numCache>
                <c:formatCode>0.0</c:formatCode>
                <c:ptCount val="4"/>
                <c:pt idx="0">
                  <c:v>84.3271630151119</c:v>
                </c:pt>
                <c:pt idx="1">
                  <c:v>79.1470758305846</c:v>
                </c:pt>
                <c:pt idx="2">
                  <c:v>120.382218360015</c:v>
                </c:pt>
                <c:pt idx="3">
                  <c:v>43.0920204856816</c:v>
                </c:pt>
              </c:numCache>
            </c:numRef>
          </c:val>
        </c:ser>
        <c:ser>
          <c:idx val="1"/>
          <c:order val="1"/>
          <c:tx>
            <c:strRef>
              <c:f>DASHBOARD!C90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93a9c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DASHBOARD!$A$91:$A$94</c:f>
              <c:strCache>
                <c:ptCount val="4"/>
                <c:pt idx="0">
                  <c:v>DIO (Stok)</c:v>
                </c:pt>
                <c:pt idx="1">
                  <c:v>DSO (Alacak)</c:v>
                </c:pt>
                <c:pt idx="2">
                  <c:v>DPO (Borç)</c:v>
                </c:pt>
                <c:pt idx="3">
                  <c:v>CCC</c:v>
                </c:pt>
              </c:strCache>
            </c:strRef>
          </c:cat>
          <c:val>
            <c:numRef>
              <c:f>DASHBOARD!$C$91:$C$94</c:f>
              <c:numCache>
                <c:formatCode>0.0</c:formatCode>
                <c:ptCount val="4"/>
                <c:pt idx="0">
                  <c:v>88.0173025595371</c:v>
                </c:pt>
                <c:pt idx="1">
                  <c:v>81.2387471725624</c:v>
                </c:pt>
                <c:pt idx="2">
                  <c:v>127.519159200207</c:v>
                </c:pt>
                <c:pt idx="3">
                  <c:v>41.7368905318921</c:v>
                </c:pt>
              </c:numCache>
            </c:numRef>
          </c:val>
        </c:ser>
        <c:gapWidth val="100"/>
        <c:overlap val="0"/>
        <c:axId val="49752279"/>
        <c:axId val="30404351"/>
      </c:barChart>
      <c:catAx>
        <c:axId val="4975227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Gün / 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404351"/>
        <c:crosses val="autoZero"/>
        <c:auto val="1"/>
        <c:lblAlgn val="ctr"/>
        <c:lblOffset val="100"/>
        <c:noMultiLvlLbl val="0"/>
      </c:catAx>
      <c:valAx>
        <c:axId val="304043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75227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Hasılat Dağılımı 2025 | Where Each TL of Revenue Goes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explosion val="0"/>
          <c:dPt>
            <c:idx val="0"/>
            <c:spPr>
              <a:gradFill>
                <a:gsLst>
                  <a:gs pos="0">
                    <a:srgbClr val="2e5f99"/>
                  </a:gs>
                  <a:gs pos="80000">
                    <a:srgbClr val="3c7ac7"/>
                  </a:gs>
                  <a:gs pos="100000">
                    <a:srgbClr val="397bca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1"/>
            <c:spPr>
              <a:gradFill>
                <a:gsLst>
                  <a:gs pos="0">
                    <a:srgbClr val="9c2f2c"/>
                  </a:gs>
                  <a:gs pos="80000">
                    <a:srgbClr val="cb3d39"/>
                  </a:gs>
                  <a:gs pos="100000">
                    <a:srgbClr val="ce3a36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2"/>
            <c:spPr>
              <a:gradFill>
                <a:gsLst>
                  <a:gs pos="0">
                    <a:srgbClr val="779637"/>
                  </a:gs>
                  <a:gs pos="80000">
                    <a:srgbClr val="9bc348"/>
                  </a:gs>
                  <a:gs pos="100000">
                    <a:srgbClr val="9cc745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3"/>
            <c:spPr>
              <a:gradFill>
                <a:gsLst>
                  <a:gs pos="0">
                    <a:srgbClr val="5e437f"/>
                  </a:gs>
                  <a:gs pos="80000">
                    <a:srgbClr val="7b57a5"/>
                  </a:gs>
                  <a:gs pos="100000">
                    <a:srgbClr val="7b57a7"/>
                  </a:gs>
                </a:gsLst>
                <a:lin ang="16200000"/>
              </a:gra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DASHBOARD!$A$101:$A$104</c:f>
              <c:strCache>
                <c:ptCount val="4"/>
                <c:pt idx="0">
                  <c:v>Satışların Maliyeti (71.2%)</c:v>
                </c:pt>
                <c:pt idx="1">
                  <c:v>Pazarlama Giderleri (19.8%)</c:v>
                </c:pt>
                <c:pt idx="2">
                  <c:v>G&amp;A + Ar-Ge (7.6%)</c:v>
                </c:pt>
                <c:pt idx="3">
                  <c:v>Faaliyet Marjı (diğer gelirler hariç) (1.3%)</c:v>
                </c:pt>
              </c:strCache>
            </c:strRef>
          </c:cat>
          <c:val>
            <c:numRef>
              <c:f>DASHBOARD!$B$101:$B$104</c:f>
              <c:numCache>
                <c:formatCode>#,##0</c:formatCode>
                <c:ptCount val="4"/>
                <c:pt idx="0">
                  <c:v>373140054</c:v>
                </c:pt>
                <c:pt idx="1">
                  <c:v>103927285</c:v>
                </c:pt>
                <c:pt idx="2">
                  <c:v>39870659</c:v>
                </c:pt>
                <c:pt idx="3">
                  <c:v>6995323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Hasılat → Net Kar Hikayesi | Revenue to Net Income (Milyar TL)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DASHBOARD!B110</c:f>
              <c:strCache>
                <c:ptCount val="1"/>
                <c:pt idx="0">
                  <c:v>2024 (Milyar TL)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DASHBOARD!$A$111:$A$114</c:f>
              <c:strCache>
                <c:ptCount val="4"/>
                <c:pt idx="0">
                  <c:v>Hasılat</c:v>
                </c:pt>
                <c:pt idx="1">
                  <c:v>Brüt Kar</c:v>
                </c:pt>
                <c:pt idx="2">
                  <c:v>Faaliyet Karı</c:v>
                </c:pt>
                <c:pt idx="3">
                  <c:v>Net Kar (Zarar)</c:v>
                </c:pt>
              </c:strCache>
            </c:strRef>
          </c:cat>
          <c:val>
            <c:numRef>
              <c:f>DASHBOARD!$B$111:$B$114</c:f>
              <c:numCache>
                <c:formatCode>#,##0</c:formatCode>
                <c:ptCount val="4"/>
                <c:pt idx="0">
                  <c:v>560.936754</c:v>
                </c:pt>
                <c:pt idx="1">
                  <c:v>154.586507</c:v>
                </c:pt>
                <c:pt idx="2">
                  <c:v>9.32271</c:v>
                </c:pt>
                <c:pt idx="3">
                  <c:v>-2.889171</c:v>
                </c:pt>
              </c:numCache>
            </c:numRef>
          </c:val>
        </c:ser>
        <c:ser>
          <c:idx val="1"/>
          <c:order val="1"/>
          <c:tx>
            <c:strRef>
              <c:f>DASHBOARD!C110</c:f>
              <c:strCache>
                <c:ptCount val="1"/>
                <c:pt idx="0">
                  <c:v>2025 (Milyar TL)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DASHBOARD!$A$111:$A$114</c:f>
              <c:strCache>
                <c:ptCount val="4"/>
                <c:pt idx="0">
                  <c:v>Hasılat</c:v>
                </c:pt>
                <c:pt idx="1">
                  <c:v>Brüt Kar</c:v>
                </c:pt>
                <c:pt idx="2">
                  <c:v>Faaliyet Karı</c:v>
                </c:pt>
                <c:pt idx="3">
                  <c:v>Net Kar (Zarar)</c:v>
                </c:pt>
              </c:strCache>
            </c:strRef>
          </c:cat>
          <c:val>
            <c:numRef>
              <c:f>DASHBOARD!$C$111:$C$114</c:f>
              <c:numCache>
                <c:formatCode>#,##0</c:formatCode>
                <c:ptCount val="4"/>
                <c:pt idx="0">
                  <c:v>523.933321</c:v>
                </c:pt>
                <c:pt idx="1">
                  <c:v>150.793267</c:v>
                </c:pt>
                <c:pt idx="2">
                  <c:v>10.494106</c:v>
                </c:pt>
                <c:pt idx="3">
                  <c:v>-9.799313</c:v>
                </c:pt>
              </c:numCache>
            </c:numRef>
          </c:val>
        </c:ser>
        <c:gapWidth val="100"/>
        <c:overlap val="0"/>
        <c:axId val="2504532"/>
        <c:axId val="24504551"/>
      </c:barChart>
      <c:catAx>
        <c:axId val="25045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504551"/>
        <c:crosses val="autoZero"/>
        <c:auto val="1"/>
        <c:lblAlgn val="ctr"/>
        <c:lblOffset val="100"/>
        <c:noMultiLvlLbl val="0"/>
      </c:catAx>
      <c:valAx>
        <c:axId val="245045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Milyar TL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045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0</xdr:rowOff>
    </xdr:from>
    <xdr:to>
      <xdr:col>7</xdr:col>
      <xdr:colOff>387720</xdr:colOff>
      <xdr:row>26</xdr:row>
      <xdr:rowOff>11880</xdr:rowOff>
    </xdr:to>
    <xdr:graphicFrame>
      <xdr:nvGraphicFramePr>
        <xdr:cNvPr id="0" name="Chart 1"/>
        <xdr:cNvGraphicFramePr/>
      </xdr:nvGraphicFramePr>
      <xdr:xfrm>
        <a:off x="141120" y="2610000"/>
        <a:ext cx="50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10</xdr:row>
      <xdr:rowOff>0</xdr:rowOff>
    </xdr:from>
    <xdr:to>
      <xdr:col>14</xdr:col>
      <xdr:colOff>387720</xdr:colOff>
      <xdr:row>26</xdr:row>
      <xdr:rowOff>11880</xdr:rowOff>
    </xdr:to>
    <xdr:graphicFrame>
      <xdr:nvGraphicFramePr>
        <xdr:cNvPr id="1" name="Chart 2"/>
        <xdr:cNvGraphicFramePr/>
      </xdr:nvGraphicFramePr>
      <xdr:xfrm>
        <a:off x="5568480" y="2610000"/>
        <a:ext cx="50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7</xdr:col>
      <xdr:colOff>387720</xdr:colOff>
      <xdr:row>45</xdr:row>
      <xdr:rowOff>11880</xdr:rowOff>
    </xdr:to>
    <xdr:graphicFrame>
      <xdr:nvGraphicFramePr>
        <xdr:cNvPr id="2" name="Chart 3"/>
        <xdr:cNvGraphicFramePr/>
      </xdr:nvGraphicFramePr>
      <xdr:xfrm>
        <a:off x="141120" y="6229440"/>
        <a:ext cx="50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29</xdr:row>
      <xdr:rowOff>0</xdr:rowOff>
    </xdr:from>
    <xdr:to>
      <xdr:col>22</xdr:col>
      <xdr:colOff>44280</xdr:colOff>
      <xdr:row>46</xdr:row>
      <xdr:rowOff>1080</xdr:rowOff>
    </xdr:to>
    <xdr:graphicFrame>
      <xdr:nvGraphicFramePr>
        <xdr:cNvPr id="3" name="Chart 4"/>
        <xdr:cNvGraphicFramePr/>
      </xdr:nvGraphicFramePr>
      <xdr:xfrm>
        <a:off x="5568480" y="6229440"/>
        <a:ext cx="100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_FinancialData" displayName="tbl_FinancialData" ref="A4:E25" headerRowCount="1" totalsRowCount="0" totalsRowShown="0">
  <autoFilter ref="A4:E25"/>
  <tableColumns count="5">
    <tableColumn id="1" name="Item_TR"/>
    <tableColumn id="2" name="Item_EN"/>
    <tableColumn id="3" name="Year_2025"/>
    <tableColumn id="4" name="Year_2024"/>
    <tableColumn id="5" name="Categor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7" min="2" style="0" width="11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37.5" hidden="false" customHeight="tru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customFormat="false" ht="21.75" hidden="false" customHeight="true" outlineLevel="0" collapsed="false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customFormat="false" ht="7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6" customFormat="false" ht="24" hidden="false" customHeight="true" outlineLevel="0" collapsed="false">
      <c r="B6" s="4" t="s">
        <v>2</v>
      </c>
      <c r="C6" s="5" t="s">
        <v>3</v>
      </c>
      <c r="D6" s="5"/>
      <c r="E6" s="4" t="s">
        <v>4</v>
      </c>
      <c r="F6" s="5" t="s">
        <v>5</v>
      </c>
      <c r="G6" s="5"/>
      <c r="H6" s="4" t="s">
        <v>6</v>
      </c>
      <c r="I6" s="5" t="s">
        <v>7</v>
      </c>
      <c r="J6" s="5"/>
      <c r="K6" s="4" t="s">
        <v>2</v>
      </c>
      <c r="L6" s="5" t="s">
        <v>8</v>
      </c>
      <c r="M6" s="5"/>
      <c r="N6" s="4" t="s">
        <v>6</v>
      </c>
      <c r="O6" s="5" t="s">
        <v>9</v>
      </c>
      <c r="P6" s="5"/>
    </row>
    <row r="7" customFormat="false" ht="37.5" hidden="false" customHeight="true" outlineLevel="0" collapsed="false">
      <c r="B7" s="6" t="n">
        <f aca="false">'2. KPI Hesaplamalari'!D5</f>
        <v>0.287810034132187</v>
      </c>
      <c r="C7" s="6"/>
      <c r="D7" s="6"/>
      <c r="E7" s="6" t="n">
        <f aca="false">'2. KPI Hesaplamalari'!D6</f>
        <v>-0.0187033590100676</v>
      </c>
      <c r="F7" s="6"/>
      <c r="G7" s="6"/>
      <c r="H7" s="7" t="n">
        <f aca="false">'2. KPI Hesaplamalari'!D9</f>
        <v>81.2387471725624</v>
      </c>
      <c r="I7" s="7"/>
      <c r="J7" s="7"/>
      <c r="K7" s="7" t="n">
        <f aca="false">'2. KPI Hesaplamalari'!D11</f>
        <v>41.7368905318921</v>
      </c>
      <c r="L7" s="7"/>
      <c r="M7" s="7"/>
      <c r="N7" s="8" t="n">
        <f aca="false">'2. KPI Hesaplamalari'!D12</f>
        <v>2.86231498301321</v>
      </c>
      <c r="O7" s="8"/>
      <c r="P7" s="8"/>
    </row>
    <row r="8" customFormat="false" ht="21.75" hidden="false" customHeight="true" outlineLevel="0" collapsed="false">
      <c r="B8" s="9" t="n">
        <f aca="false">'2. KPI Hesaplamalari'!F5</f>
        <v>1.2224</v>
      </c>
      <c r="C8" s="10" t="s">
        <v>10</v>
      </c>
      <c r="D8" s="10"/>
      <c r="E8" s="9" t="n">
        <f aca="false">'2. KPI Hesaplamalari'!F6</f>
        <v>-1.3553</v>
      </c>
      <c r="F8" s="10" t="s">
        <v>11</v>
      </c>
      <c r="G8" s="10"/>
      <c r="H8" s="11" t="n">
        <f aca="false">'2. KPI Hesaplamalari'!F9</f>
        <v>2.0916713419778</v>
      </c>
      <c r="I8" s="10" t="s">
        <v>12</v>
      </c>
      <c r="J8" s="10"/>
      <c r="K8" s="11" t="n">
        <f aca="false">'2. KPI Hesaplamalari'!F11</f>
        <v>-1.35512995378957</v>
      </c>
      <c r="L8" s="10" t="s">
        <v>13</v>
      </c>
      <c r="M8" s="10"/>
      <c r="N8" s="12" t="n">
        <f aca="false">'2. KPI Hesaplamalari'!F12</f>
        <v>-0.169694270283917</v>
      </c>
      <c r="O8" s="10" t="s">
        <v>14</v>
      </c>
      <c r="P8" s="10"/>
    </row>
    <row r="9" customFormat="false" ht="18" hidden="false" customHeight="true" outlineLevel="0" collapsed="false"/>
    <row r="50" customFormat="false" ht="27.75" hidden="false" customHeight="true" outlineLevel="0" collapsed="false">
      <c r="B50" s="13" t="s">
        <v>15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 customFormat="false" ht="21.75" hidden="false" customHeight="true" outlineLevel="0" collapsed="false">
      <c r="B51" s="14" t="s">
        <v>2</v>
      </c>
      <c r="C51" s="15" t="s">
        <v>16</v>
      </c>
      <c r="D51" s="15"/>
      <c r="E51" s="15"/>
      <c r="F51" s="15"/>
      <c r="G51" s="15"/>
      <c r="H51" s="16" t="s">
        <v>17</v>
      </c>
      <c r="I51" s="16"/>
      <c r="J51" s="16"/>
      <c r="K51" s="16"/>
      <c r="L51" s="16"/>
      <c r="M51" s="16"/>
      <c r="N51" s="16"/>
      <c r="O51" s="16"/>
      <c r="P51" s="16"/>
    </row>
    <row r="52" customFormat="false" ht="21.75" hidden="false" customHeight="true" outlineLevel="0" collapsed="false">
      <c r="B52" s="14" t="s">
        <v>4</v>
      </c>
      <c r="C52" s="15" t="s">
        <v>18</v>
      </c>
      <c r="D52" s="15"/>
      <c r="E52" s="15"/>
      <c r="F52" s="15"/>
      <c r="G52" s="15"/>
      <c r="H52" s="16" t="s">
        <v>19</v>
      </c>
      <c r="I52" s="16"/>
      <c r="J52" s="16"/>
      <c r="K52" s="16"/>
      <c r="L52" s="16"/>
      <c r="M52" s="16"/>
      <c r="N52" s="16"/>
      <c r="O52" s="16"/>
      <c r="P52" s="16"/>
    </row>
    <row r="53" customFormat="false" ht="21.75" hidden="false" customHeight="true" outlineLevel="0" collapsed="false">
      <c r="B53" s="14" t="s">
        <v>6</v>
      </c>
      <c r="C53" s="15" t="s">
        <v>20</v>
      </c>
      <c r="D53" s="15"/>
      <c r="E53" s="15"/>
      <c r="F53" s="15"/>
      <c r="G53" s="15"/>
      <c r="H53" s="16" t="s">
        <v>21</v>
      </c>
      <c r="I53" s="16"/>
      <c r="J53" s="16"/>
      <c r="K53" s="16"/>
      <c r="L53" s="16"/>
      <c r="M53" s="16"/>
      <c r="N53" s="16"/>
      <c r="O53" s="16"/>
      <c r="P53" s="16"/>
    </row>
    <row r="54" customFormat="false" ht="21.75" hidden="false" customHeight="true" outlineLevel="0" collapsed="false">
      <c r="B54" s="14" t="s">
        <v>6</v>
      </c>
      <c r="C54" s="15" t="s">
        <v>22</v>
      </c>
      <c r="D54" s="15"/>
      <c r="E54" s="15"/>
      <c r="F54" s="15"/>
      <c r="G54" s="15"/>
      <c r="H54" s="16" t="s">
        <v>23</v>
      </c>
      <c r="I54" s="16"/>
      <c r="J54" s="16"/>
      <c r="K54" s="16"/>
      <c r="L54" s="16"/>
      <c r="M54" s="16"/>
      <c r="N54" s="16"/>
      <c r="O54" s="16"/>
      <c r="P54" s="16"/>
    </row>
    <row r="55" customFormat="false" ht="21.75" hidden="false" customHeight="true" outlineLevel="0" collapsed="false">
      <c r="B55" s="14" t="s">
        <v>2</v>
      </c>
      <c r="C55" s="15" t="s">
        <v>24</v>
      </c>
      <c r="D55" s="15"/>
      <c r="E55" s="15"/>
      <c r="F55" s="15"/>
      <c r="G55" s="15"/>
      <c r="H55" s="16" t="s">
        <v>25</v>
      </c>
      <c r="I55" s="16"/>
      <c r="J55" s="16"/>
      <c r="K55" s="16"/>
      <c r="L55" s="16"/>
      <c r="M55" s="16"/>
      <c r="N55" s="16"/>
      <c r="O55" s="16"/>
      <c r="P55" s="16"/>
    </row>
    <row r="56" customFormat="false" ht="21.75" hidden="false" customHeight="true" outlineLevel="0" collapsed="false">
      <c r="B56" s="14" t="s">
        <v>6</v>
      </c>
      <c r="C56" s="15" t="s">
        <v>26</v>
      </c>
      <c r="D56" s="15"/>
      <c r="E56" s="15"/>
      <c r="F56" s="15"/>
      <c r="G56" s="15"/>
      <c r="H56" s="16" t="s">
        <v>27</v>
      </c>
      <c r="I56" s="16"/>
      <c r="J56" s="16"/>
      <c r="K56" s="16"/>
      <c r="L56" s="16"/>
      <c r="M56" s="16"/>
      <c r="N56" s="16"/>
      <c r="O56" s="16"/>
      <c r="P56" s="16"/>
    </row>
    <row r="58" customFormat="false" ht="15" hidden="false" customHeight="false" outlineLevel="0" collapsed="false">
      <c r="B58" s="17" t="s">
        <v>28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</row>
    <row r="80" customFormat="false" ht="15" hidden="false" customHeight="false" outlineLevel="0" collapsed="false">
      <c r="A80" s="18" t="s">
        <v>29</v>
      </c>
      <c r="B80" s="18" t="s">
        <v>30</v>
      </c>
      <c r="C80" s="18" t="s">
        <v>31</v>
      </c>
    </row>
    <row r="81" customFormat="false" ht="15" hidden="false" customHeight="false" outlineLevel="0" collapsed="false">
      <c r="A81" s="0" t="s">
        <v>3</v>
      </c>
      <c r="B81" s="19" t="n">
        <f aca="false">'2. KPI Hesaplamalari'!E5</f>
        <v>0.275586339988697</v>
      </c>
      <c r="C81" s="19" t="n">
        <f aca="false">'2. KPI Hesaplamalari'!D5</f>
        <v>0.287810034132187</v>
      </c>
    </row>
    <row r="82" customFormat="false" ht="15" hidden="false" customHeight="false" outlineLevel="0" collapsed="false">
      <c r="A82" s="0" t="s">
        <v>5</v>
      </c>
      <c r="B82" s="19" t="n">
        <f aca="false">'2. KPI Hesaplamalari'!E6</f>
        <v>-0.00515061810337356</v>
      </c>
      <c r="C82" s="19" t="n">
        <f aca="false">'2. KPI Hesaplamalari'!D6</f>
        <v>-0.0187033590100676</v>
      </c>
    </row>
    <row r="90" customFormat="false" ht="15" hidden="false" customHeight="false" outlineLevel="0" collapsed="false">
      <c r="A90" s="18" t="s">
        <v>32</v>
      </c>
      <c r="B90" s="18" t="s">
        <v>30</v>
      </c>
      <c r="C90" s="18" t="s">
        <v>31</v>
      </c>
    </row>
    <row r="91" customFormat="false" ht="15" hidden="false" customHeight="false" outlineLevel="0" collapsed="false">
      <c r="A91" s="0" t="s">
        <v>33</v>
      </c>
      <c r="B91" s="20" t="n">
        <f aca="false">'2. KPI Hesaplamalari'!E8</f>
        <v>84.3271630151119</v>
      </c>
      <c r="C91" s="20" t="n">
        <f aca="false">'2. KPI Hesaplamalari'!D8</f>
        <v>88.0173025595371</v>
      </c>
    </row>
    <row r="92" customFormat="false" ht="15" hidden="false" customHeight="false" outlineLevel="0" collapsed="false">
      <c r="A92" s="0" t="s">
        <v>34</v>
      </c>
      <c r="B92" s="20" t="n">
        <f aca="false">'2. KPI Hesaplamalari'!E9</f>
        <v>79.1470758305846</v>
      </c>
      <c r="C92" s="20" t="n">
        <f aca="false">'2. KPI Hesaplamalari'!D9</f>
        <v>81.2387471725624</v>
      </c>
    </row>
    <row r="93" customFormat="false" ht="15" hidden="false" customHeight="false" outlineLevel="0" collapsed="false">
      <c r="A93" s="0" t="s">
        <v>35</v>
      </c>
      <c r="B93" s="20" t="n">
        <f aca="false">'2. KPI Hesaplamalari'!E10</f>
        <v>120.382218360015</v>
      </c>
      <c r="C93" s="20" t="n">
        <f aca="false">'2. KPI Hesaplamalari'!D10</f>
        <v>127.519159200207</v>
      </c>
    </row>
    <row r="94" customFormat="false" ht="15" hidden="false" customHeight="false" outlineLevel="0" collapsed="false">
      <c r="A94" s="0" t="s">
        <v>8</v>
      </c>
      <c r="B94" s="20" t="n">
        <f aca="false">'2. KPI Hesaplamalari'!E11</f>
        <v>43.0920204856816</v>
      </c>
      <c r="C94" s="20" t="n">
        <f aca="false">'2. KPI Hesaplamalari'!D11</f>
        <v>41.7368905318921</v>
      </c>
    </row>
    <row r="100" customFormat="false" ht="15" hidden="false" customHeight="false" outlineLevel="0" collapsed="false">
      <c r="A100" s="18" t="s">
        <v>36</v>
      </c>
      <c r="B100" s="18" t="s">
        <v>37</v>
      </c>
    </row>
    <row r="101" customFormat="false" ht="15" hidden="false" customHeight="false" outlineLevel="0" collapsed="false">
      <c r="A101" s="0" t="str">
        <f aca="false">"Satışların Maliyeti ("&amp;FIXED(B101/'1. Ham Veri (Raw Data)'!$C$6*100,1)&amp;"%)"</f>
        <v>Satışların Maliyeti (71.2%)</v>
      </c>
      <c r="B101" s="21" t="n">
        <f aca="false">'1. Ham Veri (Raw Data)'!C7</f>
        <v>373140054</v>
      </c>
    </row>
    <row r="102" customFormat="false" ht="15" hidden="false" customHeight="false" outlineLevel="0" collapsed="false">
      <c r="A102" s="0" t="str">
        <f aca="false">"Pazarlama Giderleri ("&amp;FIXED(B102/'1. Ham Veri (Raw Data)'!$C$6*100,1)&amp;"%)"</f>
        <v>Pazarlama Giderleri (19.8%)</v>
      </c>
      <c r="B102" s="21" t="n">
        <f aca="false">'1. Ham Veri (Raw Data)'!C9</f>
        <v>103927285</v>
      </c>
    </row>
    <row r="103" customFormat="false" ht="15" hidden="false" customHeight="false" outlineLevel="0" collapsed="false">
      <c r="A103" s="0" t="str">
        <f aca="false">"G&amp;A + Ar-Ge ("&amp;FIXED(B103/'1. Ham Veri (Raw Data)'!$C$6*100,1)&amp;"%)"</f>
        <v>G&amp;A + Ar-Ge (7.6%)</v>
      </c>
      <c r="B103" s="21" t="n">
        <f aca="false">'1. Ham Veri (Raw Data)'!C10+'1. Ham Veri (Raw Data)'!C11</f>
        <v>39870659</v>
      </c>
    </row>
    <row r="104" customFormat="false" ht="15" hidden="false" customHeight="false" outlineLevel="0" collapsed="false">
      <c r="A104" s="0" t="str">
        <f aca="false">"Faaliyet Marjı (diğer gelirler hariç) ("&amp;FIXED(B104/'1. Ham Veri (Raw Data)'!$C$6*100,1)&amp;"%)"</f>
        <v>Faaliyet Marjı (diğer gelirler hariç) (1.3%)</v>
      </c>
      <c r="B104" s="21" t="n">
        <f aca="false">'1. Ham Veri (Raw Data)'!C6-'1. Ham Veri (Raw Data)'!C7-'1. Ham Veri (Raw Data)'!C9-'1. Ham Veri (Raw Data)'!C10-'1. Ham Veri (Raw Data)'!C11</f>
        <v>6995323</v>
      </c>
    </row>
    <row r="105">
      <c r="A105" s="0" t="inlineStr">
        <is>
          <t xml:space="preserve">Not: Raporlanan esas faaliyet karı (10.5 milyar TL), 3.5 milyar TL net diğer faaliyet gelirini içerir; grafik yalnızca hasılattan düşülen giderleri gösterir.</t>
        </is>
      </c>
    </row>
    <row r="110" customFormat="false" ht="15" hidden="false" customHeight="false" outlineLevel="0" collapsed="false">
      <c r="A110" s="18" t="s">
        <v>42</v>
      </c>
      <c r="B110" s="18" t="s">
        <v>43</v>
      </c>
      <c r="C110" s="18" t="s">
        <v>44</v>
      </c>
    </row>
    <row r="111" customFormat="false" ht="15" hidden="false" customHeight="false" outlineLevel="0" collapsed="false">
      <c r="A111" s="0" t="s">
        <v>45</v>
      </c>
      <c r="B111" s="21" t="n">
        <f aca="false">'1. Ham Veri (Raw Data)'!D6/1000000</f>
        <v>560.936754</v>
      </c>
      <c r="C111" s="21" t="n">
        <f aca="false">'1. Ham Veri (Raw Data)'!C6/1000000</f>
        <v>523.933321</v>
      </c>
    </row>
    <row r="112" customFormat="false" ht="15" hidden="false" customHeight="false" outlineLevel="0" collapsed="false">
      <c r="A112" s="0" t="s">
        <v>46</v>
      </c>
      <c r="B112" s="21" t="n">
        <f aca="false">'1. Ham Veri (Raw Data)'!D8/1000000</f>
        <v>154.586507</v>
      </c>
      <c r="C112" s="21" t="n">
        <f aca="false">'1. Ham Veri (Raw Data)'!C8/1000000</f>
        <v>150.793267</v>
      </c>
    </row>
    <row r="113" customFormat="false" ht="15" hidden="false" customHeight="false" outlineLevel="0" collapsed="false">
      <c r="A113" s="0" t="s">
        <v>47</v>
      </c>
      <c r="B113" s="21" t="n">
        <f aca="false">'1. Ham Veri (Raw Data)'!D12/1000000</f>
        <v>9.32271</v>
      </c>
      <c r="C113" s="21" t="n">
        <f aca="false">'1. Ham Veri (Raw Data)'!C12/1000000</f>
        <v>10.494106</v>
      </c>
    </row>
    <row r="114" customFormat="false" ht="15" hidden="false" customHeight="false" outlineLevel="0" collapsed="false">
      <c r="A114" s="0" t="s">
        <v>48</v>
      </c>
      <c r="B114" s="21" t="n">
        <f aca="false">'1. Ham Veri (Raw Data)'!D14/1000000</f>
        <v>-2.889171</v>
      </c>
      <c r="C114" s="21" t="n">
        <f aca="false">'1. Ham Veri (Raw Data)'!C14/1000000</f>
        <v>-9.799313</v>
      </c>
    </row>
  </sheetData>
  <mergeCells count="29">
    <mergeCell ref="C6:D6"/>
    <mergeCell ref="F6:G6"/>
    <mergeCell ref="I6:J6"/>
    <mergeCell ref="L6:M6"/>
    <mergeCell ref="O6:P6"/>
    <mergeCell ref="B7:D7"/>
    <mergeCell ref="E7:G7"/>
    <mergeCell ref="H7:J7"/>
    <mergeCell ref="K7:M7"/>
    <mergeCell ref="N7:P7"/>
    <mergeCell ref="C8:D8"/>
    <mergeCell ref="F8:G8"/>
    <mergeCell ref="I8:J8"/>
    <mergeCell ref="L8:M8"/>
    <mergeCell ref="O8:P8"/>
    <mergeCell ref="B50:P50"/>
    <mergeCell ref="C51:G51"/>
    <mergeCell ref="H51:P51"/>
    <mergeCell ref="C52:G52"/>
    <mergeCell ref="H52:P52"/>
    <mergeCell ref="C53:G53"/>
    <mergeCell ref="H53:P53"/>
    <mergeCell ref="C54:G54"/>
    <mergeCell ref="H54:P54"/>
    <mergeCell ref="C55:G55"/>
    <mergeCell ref="H55:P55"/>
    <mergeCell ref="C56:G56"/>
    <mergeCell ref="H56:P56"/>
    <mergeCell ref="B58:P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2"/>
    <col collapsed="false" customWidth="true" hidden="false" outlineLevel="0" max="4" min="3" style="0" width="18"/>
  </cols>
  <sheetData>
    <row r="1" customFormat="false" ht="19.7" hidden="false" customHeight="false" outlineLevel="0" collapsed="false">
      <c r="A1" s="22" t="s">
        <v>49</v>
      </c>
      <c r="B1" s="22"/>
      <c r="C1" s="22"/>
      <c r="D1" s="22"/>
    </row>
    <row r="2" customFormat="false" ht="15" hidden="false" customHeight="false" outlineLevel="0" collapsed="false">
      <c r="A2" s="23" t="s">
        <v>50</v>
      </c>
      <c r="B2" s="23"/>
      <c r="C2" s="23"/>
      <c r="D2" s="23"/>
    </row>
    <row r="4" customFormat="false" ht="24" hidden="false" customHeight="true" outlineLevel="0" collapsed="false">
      <c r="A4" s="24" t="s">
        <v>51</v>
      </c>
      <c r="B4" s="24" t="s">
        <v>52</v>
      </c>
      <c r="C4" s="24" t="s">
        <v>31</v>
      </c>
      <c r="D4" s="24" t="s">
        <v>30</v>
      </c>
    </row>
    <row r="5" customFormat="false" ht="15" hidden="false" customHeight="false" outlineLevel="0" collapsed="false">
      <c r="A5" s="25" t="s">
        <v>53</v>
      </c>
      <c r="B5" s="25" t="s">
        <v>54</v>
      </c>
      <c r="C5" s="26"/>
      <c r="D5" s="26"/>
    </row>
    <row r="6" customFormat="false" ht="15" hidden="false" customHeight="false" outlineLevel="0" collapsed="false">
      <c r="A6" s="27" t="s">
        <v>45</v>
      </c>
      <c r="B6" s="28" t="s">
        <v>55</v>
      </c>
      <c r="C6" s="29" t="n">
        <v>523933321</v>
      </c>
      <c r="D6" s="29" t="n">
        <v>560936754</v>
      </c>
    </row>
    <row r="7" customFormat="false" ht="15" hidden="false" customHeight="false" outlineLevel="0" collapsed="false">
      <c r="A7" s="27" t="s">
        <v>56</v>
      </c>
      <c r="B7" s="28" t="s">
        <v>57</v>
      </c>
      <c r="C7" s="29" t="n">
        <v>373140054</v>
      </c>
      <c r="D7" s="29" t="n">
        <v>406350247</v>
      </c>
    </row>
    <row r="8" customFormat="false" ht="15" hidden="false" customHeight="false" outlineLevel="0" collapsed="false">
      <c r="A8" s="27" t="s">
        <v>46</v>
      </c>
      <c r="B8" s="28" t="s">
        <v>58</v>
      </c>
      <c r="C8" s="29" t="n">
        <v>150793267</v>
      </c>
      <c r="D8" s="29" t="n">
        <v>154586507</v>
      </c>
    </row>
    <row r="9" customFormat="false" ht="15" hidden="false" customHeight="false" outlineLevel="0" collapsed="false">
      <c r="A9" s="27" t="s">
        <v>59</v>
      </c>
      <c r="B9" s="28" t="s">
        <v>60</v>
      </c>
      <c r="C9" s="29" t="n">
        <v>103927285</v>
      </c>
      <c r="D9" s="29" t="n">
        <v>108281560</v>
      </c>
    </row>
    <row r="10" customFormat="false" ht="15" hidden="false" customHeight="false" outlineLevel="0" collapsed="false">
      <c r="A10" s="27" t="s">
        <v>61</v>
      </c>
      <c r="B10" s="28" t="s">
        <v>62</v>
      </c>
      <c r="C10" s="29" t="n">
        <v>33379774</v>
      </c>
      <c r="D10" s="29" t="n">
        <v>32435620</v>
      </c>
    </row>
    <row r="11" customFormat="false" ht="15" hidden="false" customHeight="false" outlineLevel="0" collapsed="false">
      <c r="A11" s="27" t="s">
        <v>63</v>
      </c>
      <c r="B11" s="28" t="s">
        <v>64</v>
      </c>
      <c r="C11" s="29" t="n">
        <v>6490885</v>
      </c>
      <c r="D11" s="29" t="n">
        <v>6346498</v>
      </c>
    </row>
    <row r="12" customFormat="false" ht="15" hidden="false" customHeight="false" outlineLevel="0" collapsed="false">
      <c r="A12" s="27" t="s">
        <v>65</v>
      </c>
      <c r="B12" s="28" t="s">
        <v>66</v>
      </c>
      <c r="C12" s="29" t="n">
        <v>10494106</v>
      </c>
      <c r="D12" s="29" t="n">
        <v>9322710</v>
      </c>
    </row>
    <row r="13" customFormat="false" ht="15" hidden="false" customHeight="false" outlineLevel="0" collapsed="false">
      <c r="A13" s="27" t="s">
        <v>67</v>
      </c>
      <c r="B13" s="28" t="s">
        <v>68</v>
      </c>
      <c r="C13" s="29" t="n">
        <v>47635992</v>
      </c>
      <c r="D13" s="29" t="n">
        <v>61910541</v>
      </c>
    </row>
    <row r="14" customFormat="false" ht="15" hidden="false" customHeight="false" outlineLevel="0" collapsed="false">
      <c r="A14" s="27" t="s">
        <v>69</v>
      </c>
      <c r="B14" s="28" t="s">
        <v>70</v>
      </c>
      <c r="C14" s="29" t="n">
        <v>-9799313</v>
      </c>
      <c r="D14" s="29" t="n">
        <v>-2889171</v>
      </c>
    </row>
    <row r="15" customFormat="false" ht="15" hidden="false" customHeight="false" outlineLevel="0" collapsed="false">
      <c r="A15" s="25" t="s">
        <v>71</v>
      </c>
      <c r="B15" s="25" t="s">
        <v>72</v>
      </c>
      <c r="C15" s="26"/>
      <c r="D15" s="26"/>
    </row>
    <row r="16" customFormat="false" ht="15" hidden="false" customHeight="false" outlineLevel="0" collapsed="false">
      <c r="A16" s="27" t="s">
        <v>73</v>
      </c>
      <c r="B16" s="28" t="s">
        <v>74</v>
      </c>
      <c r="C16" s="29" t="n">
        <v>97829154</v>
      </c>
      <c r="D16" s="29" t="n">
        <v>66514006</v>
      </c>
    </row>
    <row r="17" customFormat="false" ht="15" hidden="false" customHeight="false" outlineLevel="0" collapsed="false">
      <c r="A17" s="27" t="s">
        <v>75</v>
      </c>
      <c r="B17" s="28" t="s">
        <v>76</v>
      </c>
      <c r="C17" s="29" t="n">
        <v>116612840</v>
      </c>
      <c r="D17" s="29" t="n">
        <v>121634257</v>
      </c>
    </row>
    <row r="18" customFormat="false" ht="15" hidden="false" customHeight="false" outlineLevel="0" collapsed="false">
      <c r="A18" s="27" t="s">
        <v>77</v>
      </c>
      <c r="B18" s="28" t="s">
        <v>78</v>
      </c>
      <c r="C18" s="29" t="n">
        <v>89980222</v>
      </c>
      <c r="D18" s="29" t="n">
        <v>93880448</v>
      </c>
    </row>
    <row r="19" customFormat="false" ht="15" hidden="false" customHeight="false" outlineLevel="0" collapsed="false">
      <c r="A19" s="27" t="s">
        <v>79</v>
      </c>
      <c r="B19" s="28" t="s">
        <v>80</v>
      </c>
      <c r="C19" s="29" t="n">
        <v>330746728</v>
      </c>
      <c r="D19" s="29" t="n">
        <v>300353563</v>
      </c>
    </row>
    <row r="20" customFormat="false" ht="15" hidden="false" customHeight="false" outlineLevel="0" collapsed="false">
      <c r="A20" s="27" t="s">
        <v>81</v>
      </c>
      <c r="B20" s="28" t="s">
        <v>82</v>
      </c>
      <c r="C20" s="29" t="n">
        <v>543531612</v>
      </c>
      <c r="D20" s="29" t="n">
        <v>520592827</v>
      </c>
    </row>
    <row r="21" customFormat="false" ht="15" hidden="false" customHeight="false" outlineLevel="0" collapsed="false">
      <c r="A21" s="27" t="s">
        <v>83</v>
      </c>
      <c r="B21" s="28" t="s">
        <v>84</v>
      </c>
      <c r="C21" s="29" t="n">
        <v>130363030</v>
      </c>
      <c r="D21" s="29" t="n">
        <v>134020121</v>
      </c>
    </row>
    <row r="22" customFormat="false" ht="15" hidden="false" customHeight="false" outlineLevel="0" collapsed="false">
      <c r="A22" s="27" t="s">
        <v>85</v>
      </c>
      <c r="B22" s="28" t="s">
        <v>86</v>
      </c>
      <c r="C22" s="29" t="n">
        <v>115029066</v>
      </c>
      <c r="D22" s="29" t="n">
        <v>67250109</v>
      </c>
    </row>
    <row r="23" customFormat="false" ht="15" hidden="false" customHeight="false" outlineLevel="0" collapsed="false">
      <c r="A23" s="27" t="s">
        <v>87</v>
      </c>
      <c r="B23" s="28" t="s">
        <v>88</v>
      </c>
      <c r="C23" s="29" t="n">
        <v>32919788</v>
      </c>
      <c r="D23" s="29" t="n">
        <v>14252329</v>
      </c>
    </row>
    <row r="24" customFormat="false" ht="15" hidden="false" customHeight="false" outlineLevel="0" collapsed="false">
      <c r="A24" s="27" t="s">
        <v>89</v>
      </c>
      <c r="B24" s="28" t="s">
        <v>90</v>
      </c>
      <c r="C24" s="29" t="n">
        <v>340655670</v>
      </c>
      <c r="D24" s="29" t="n">
        <v>289582799</v>
      </c>
    </row>
    <row r="25" customFormat="false" ht="15" hidden="false" customHeight="false" outlineLevel="0" collapsed="false">
      <c r="A25" s="27" t="s">
        <v>91</v>
      </c>
      <c r="B25" s="28" t="s">
        <v>92</v>
      </c>
      <c r="C25" s="29" t="n">
        <v>87949553</v>
      </c>
      <c r="D25" s="29" t="n">
        <v>99185334</v>
      </c>
    </row>
    <row r="26" customFormat="false" ht="15" hidden="false" customHeight="false" outlineLevel="0" collapsed="false">
      <c r="A26" s="27" t="s">
        <v>93</v>
      </c>
      <c r="B26" s="28" t="s">
        <v>94</v>
      </c>
      <c r="C26" s="29" t="n">
        <v>467626459</v>
      </c>
      <c r="D26" s="29" t="n">
        <v>422340360</v>
      </c>
    </row>
    <row r="27" customFormat="false" ht="15" hidden="false" customHeight="false" outlineLevel="0" collapsed="false">
      <c r="A27" s="27" t="s">
        <v>95</v>
      </c>
      <c r="B27" s="28" t="s">
        <v>96</v>
      </c>
      <c r="C27" s="29" t="n">
        <v>75905153</v>
      </c>
      <c r="D27" s="29" t="n">
        <v>98252467</v>
      </c>
    </row>
    <row r="30" customFormat="false" ht="15" hidden="false" customHeight="false" outlineLevel="0" collapsed="false">
      <c r="A30" s="30" t="s">
        <v>97</v>
      </c>
    </row>
    <row r="31" customFormat="false" ht="15" hidden="false" customHeight="false" outlineLevel="0" collapsed="false">
      <c r="A31" s="31" t="s">
        <v>98</v>
      </c>
    </row>
    <row r="32" customFormat="false" ht="15" hidden="false" customHeight="false" outlineLevel="0" collapsed="false">
      <c r="A32" s="32" t="s">
        <v>99</v>
      </c>
    </row>
    <row r="33" customFormat="false" ht="15" hidden="false" customHeight="false" outlineLevel="0" collapsed="false">
      <c r="A33" s="33" t="s">
        <v>100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36"/>
    <col collapsed="false" customWidth="true" hidden="false" outlineLevel="0" max="5" min="4" style="0" width="14"/>
    <col collapsed="false" customWidth="true" hidden="false" outlineLevel="0" max="6" min="6" style="0" width="16"/>
  </cols>
  <sheetData>
    <row r="1" customFormat="false" ht="19.7" hidden="false" customHeight="false" outlineLevel="0" collapsed="false">
      <c r="A1" s="22" t="s">
        <v>101</v>
      </c>
      <c r="B1" s="22"/>
      <c r="C1" s="22"/>
      <c r="D1" s="22"/>
      <c r="E1" s="22"/>
      <c r="F1" s="22"/>
    </row>
    <row r="2" customFormat="false" ht="15" hidden="false" customHeight="false" outlineLevel="0" collapsed="false">
      <c r="A2" s="23" t="s">
        <v>102</v>
      </c>
      <c r="B2" s="23"/>
      <c r="C2" s="23"/>
      <c r="D2" s="23"/>
      <c r="E2" s="23"/>
      <c r="F2" s="23"/>
    </row>
    <row r="4" customFormat="false" ht="24" hidden="false" customHeight="true" outlineLevel="0" collapsed="false">
      <c r="A4" s="24" t="s">
        <v>103</v>
      </c>
      <c r="B4" s="24" t="s">
        <v>104</v>
      </c>
      <c r="C4" s="24" t="s">
        <v>105</v>
      </c>
      <c r="D4" s="24" t="s">
        <v>31</v>
      </c>
      <c r="E4" s="24" t="s">
        <v>30</v>
      </c>
      <c r="F4" s="24" t="s">
        <v>106</v>
      </c>
    </row>
    <row r="5" customFormat="false" ht="15" hidden="false" customHeight="false" outlineLevel="0" collapsed="false">
      <c r="A5" s="34" t="n">
        <v>1</v>
      </c>
      <c r="B5" s="35" t="s">
        <v>107</v>
      </c>
      <c r="C5" s="36" t="s">
        <v>108</v>
      </c>
      <c r="D5" s="37" t="n">
        <f aca="false">'1. Ham Veri (Raw Data)'!C8/'1. Ham Veri (Raw Data)'!C6</f>
        <v>0.287810034132187</v>
      </c>
      <c r="E5" s="37" t="n">
        <f aca="false">'1. Ham Veri (Raw Data)'!D8/'1. Ham Veri (Raw Data)'!D6</f>
        <v>0.275586339988697</v>
      </c>
      <c r="F5" s="38" t="n">
        <f aca="false">(D5-E5)*100</f>
        <v>1.2224</v>
      </c>
    </row>
    <row r="6" customFormat="false" ht="15" hidden="false" customHeight="false" outlineLevel="0" collapsed="false">
      <c r="A6" s="34" t="n">
        <v>2</v>
      </c>
      <c r="B6" s="35" t="s">
        <v>109</v>
      </c>
      <c r="C6" s="36" t="s">
        <v>110</v>
      </c>
      <c r="D6" s="37" t="n">
        <f aca="false">'1. Ham Veri (Raw Data)'!C14/'1. Ham Veri (Raw Data)'!C6</f>
        <v>-0.0187033590100676</v>
      </c>
      <c r="E6" s="37" t="n">
        <f aca="false">'1. Ham Veri (Raw Data)'!D14/'1. Ham Veri (Raw Data)'!D6</f>
        <v>-0.00515061810337356</v>
      </c>
      <c r="F6" s="38" t="n">
        <f aca="false">(D6-E6)*100</f>
        <v>-1.3553</v>
      </c>
    </row>
    <row r="7" customFormat="false" ht="26.85" hidden="false" customHeight="false" outlineLevel="0" collapsed="false">
      <c r="A7" s="39"/>
      <c r="B7" s="40" t="s">
        <v>111</v>
      </c>
      <c r="C7" s="41"/>
      <c r="D7" s="42"/>
      <c r="E7" s="42"/>
      <c r="F7" s="42"/>
    </row>
    <row r="8" customFormat="false" ht="15" hidden="false" customHeight="false" outlineLevel="0" collapsed="false">
      <c r="A8" s="34"/>
      <c r="B8" s="28" t="s">
        <v>112</v>
      </c>
      <c r="C8" s="36" t="s">
        <v>113</v>
      </c>
      <c r="D8" s="43" t="n">
        <f aca="false">'1. Ham Veri (Raw Data)'!C18/'1. Ham Veri (Raw Data)'!C7*365</f>
        <v>88.0173025595371</v>
      </c>
      <c r="E8" s="43" t="n">
        <f aca="false">'1. Ham Veri (Raw Data)'!D18/'1. Ham Veri (Raw Data)'!D7*365</f>
        <v>84.3271630151119</v>
      </c>
      <c r="F8" s="44" t="n">
        <f aca="false">D8-E8</f>
        <v>3.69013954442512</v>
      </c>
    </row>
    <row r="9" customFormat="false" ht="15" hidden="false" customHeight="false" outlineLevel="0" collapsed="false">
      <c r="A9" s="34" t="n">
        <v>3</v>
      </c>
      <c r="B9" s="35" t="s">
        <v>114</v>
      </c>
      <c r="C9" s="36" t="s">
        <v>115</v>
      </c>
      <c r="D9" s="43" t="n">
        <f aca="false">'1. Ham Veri (Raw Data)'!C17/'1. Ham Veri (Raw Data)'!C6*365</f>
        <v>81.2387471725624</v>
      </c>
      <c r="E9" s="43" t="n">
        <f aca="false">'1. Ham Veri (Raw Data)'!D17/'1. Ham Veri (Raw Data)'!D6*365</f>
        <v>79.1470758305846</v>
      </c>
      <c r="F9" s="44" t="n">
        <f aca="false">D9-E9</f>
        <v>2.0916713419778</v>
      </c>
    </row>
    <row r="10" customFormat="false" ht="15" hidden="false" customHeight="false" outlineLevel="0" collapsed="false">
      <c r="A10" s="34"/>
      <c r="B10" s="28" t="s">
        <v>116</v>
      </c>
      <c r="C10" s="36" t="s">
        <v>117</v>
      </c>
      <c r="D10" s="43" t="n">
        <f aca="false">'1. Ham Veri (Raw Data)'!C21/'1. Ham Veri (Raw Data)'!C7*365</f>
        <v>127.519159200207</v>
      </c>
      <c r="E10" s="43" t="n">
        <f aca="false">'1. Ham Veri (Raw Data)'!D21/'1. Ham Veri (Raw Data)'!D7*365</f>
        <v>120.382218360015</v>
      </c>
      <c r="F10" s="44" t="n">
        <f aca="false">D10-E10</f>
        <v>7.13694084019249</v>
      </c>
    </row>
    <row r="11" customFormat="false" ht="15" hidden="false" customHeight="false" outlineLevel="0" collapsed="false">
      <c r="A11" s="34" t="n">
        <v>4</v>
      </c>
      <c r="B11" s="35" t="s">
        <v>118</v>
      </c>
      <c r="C11" s="36" t="s">
        <v>119</v>
      </c>
      <c r="D11" s="43" t="n">
        <f aca="false">D8+D9-D10</f>
        <v>41.7368905318921</v>
      </c>
      <c r="E11" s="43" t="n">
        <f aca="false">E8+E9-E10</f>
        <v>43.0920204856816</v>
      </c>
      <c r="F11" s="44" t="n">
        <f aca="false">D11-E11</f>
        <v>-1.35512995378957</v>
      </c>
    </row>
    <row r="12" customFormat="false" ht="15" hidden="false" customHeight="false" outlineLevel="0" collapsed="false">
      <c r="A12" s="34" t="n">
        <v>5</v>
      </c>
      <c r="B12" s="35" t="s">
        <v>120</v>
      </c>
      <c r="C12" s="36" t="s">
        <v>121</v>
      </c>
      <c r="D12" s="45" t="n">
        <f aca="false">'1. Ham Veri (Raw Data)'!C7/'1. Ham Veri (Raw Data)'!C21</f>
        <v>2.86231498301321</v>
      </c>
      <c r="E12" s="45" t="n">
        <f aca="false">'1. Ham Veri (Raw Data)'!D7/'1. Ham Veri (Raw Data)'!D21</f>
        <v>3.03200925329712</v>
      </c>
      <c r="F12" s="46" t="n">
        <f aca="false">D12-E12</f>
        <v>-0.169694270283917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50"/>
    <col collapsed="false" customWidth="true" hidden="false" outlineLevel="0" max="4" min="4" style="0" width="55"/>
  </cols>
  <sheetData>
    <row r="1" customFormat="false" ht="19.7" hidden="false" customHeight="false" outlineLevel="0" collapsed="false">
      <c r="A1" s="22" t="s">
        <v>122</v>
      </c>
      <c r="B1" s="22"/>
      <c r="C1" s="22"/>
      <c r="D1" s="22"/>
    </row>
    <row r="2" customFormat="false" ht="15" hidden="false" customHeight="false" outlineLevel="0" collapsed="false">
      <c r="A2" s="23" t="s">
        <v>123</v>
      </c>
      <c r="B2" s="23"/>
      <c r="C2" s="23"/>
      <c r="D2" s="23"/>
    </row>
    <row r="4" customFormat="false" ht="24" hidden="false" customHeight="true" outlineLevel="0" collapsed="false">
      <c r="A4" s="24" t="s">
        <v>103</v>
      </c>
      <c r="B4" s="24" t="s">
        <v>29</v>
      </c>
      <c r="C4" s="24" t="s">
        <v>124</v>
      </c>
      <c r="D4" s="24" t="s">
        <v>125</v>
      </c>
    </row>
    <row r="5" customFormat="false" ht="109.5" hidden="false" customHeight="true" outlineLevel="0" collapsed="false">
      <c r="A5" s="47" t="n">
        <v>1</v>
      </c>
      <c r="B5" s="48" t="s">
        <v>126</v>
      </c>
      <c r="C5" s="49" t="s">
        <v>127</v>
      </c>
      <c r="D5" s="49" t="s">
        <v>128</v>
      </c>
    </row>
    <row r="6" customFormat="false" ht="109.5" hidden="false" customHeight="true" outlineLevel="0" collapsed="false">
      <c r="A6" s="34" t="n">
        <v>2</v>
      </c>
      <c r="B6" s="50" t="s">
        <v>129</v>
      </c>
      <c r="C6" s="51" t="s">
        <v>130</v>
      </c>
      <c r="D6" s="51" t="s">
        <v>131</v>
      </c>
    </row>
    <row r="7" customFormat="false" ht="109.5" hidden="false" customHeight="true" outlineLevel="0" collapsed="false">
      <c r="A7" s="47" t="n">
        <v>3</v>
      </c>
      <c r="B7" s="48" t="s">
        <v>132</v>
      </c>
      <c r="C7" s="49" t="s">
        <v>133</v>
      </c>
      <c r="D7" s="49" t="s">
        <v>134</v>
      </c>
    </row>
    <row r="8" customFormat="false" ht="109.5" hidden="false" customHeight="true" outlineLevel="0" collapsed="false">
      <c r="A8" s="34" t="n">
        <v>4</v>
      </c>
      <c r="B8" s="50" t="s">
        <v>135</v>
      </c>
      <c r="C8" s="51" t="s">
        <v>136</v>
      </c>
      <c r="D8" s="51" t="s">
        <v>137</v>
      </c>
    </row>
    <row r="9" customFormat="false" ht="109.5" hidden="false" customHeight="true" outlineLevel="0" collapsed="false">
      <c r="A9" s="47" t="n">
        <v>5</v>
      </c>
      <c r="B9" s="48" t="s">
        <v>138</v>
      </c>
      <c r="C9" s="49" t="s">
        <v>139</v>
      </c>
      <c r="D9" s="49" t="s">
        <v>140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19.7" hidden="false" customHeight="false" outlineLevel="0" collapsed="false">
      <c r="A1" s="22" t="s">
        <v>141</v>
      </c>
      <c r="B1" s="22"/>
    </row>
    <row r="2" customFormat="false" ht="15" hidden="false" customHeight="false" outlineLevel="0" collapsed="false">
      <c r="A2" s="52" t="s">
        <v>142</v>
      </c>
      <c r="B2" s="52"/>
    </row>
    <row r="4" customFormat="false" ht="24" hidden="false" customHeight="true" outlineLevel="0" collapsed="false">
      <c r="A4" s="53" t="s">
        <v>143</v>
      </c>
      <c r="B4" s="53"/>
    </row>
    <row r="5" customFormat="false" ht="129.75" hidden="false" customHeight="true" outlineLevel="0" collapsed="false">
      <c r="A5" s="54" t="s">
        <v>144</v>
      </c>
      <c r="B5" s="54"/>
    </row>
    <row r="7" customFormat="false" ht="24" hidden="false" customHeight="true" outlineLevel="0" collapsed="false">
      <c r="A7" s="53" t="s">
        <v>145</v>
      </c>
      <c r="B7" s="53"/>
    </row>
    <row r="8" customFormat="false" ht="31.5" hidden="false" customHeight="true" outlineLevel="0" collapsed="false">
      <c r="A8" s="55" t="s">
        <v>146</v>
      </c>
      <c r="B8" s="56" t="s">
        <v>147</v>
      </c>
    </row>
    <row r="9" customFormat="false" ht="31.5" hidden="false" customHeight="true" outlineLevel="0" collapsed="false">
      <c r="A9" s="55" t="s">
        <v>148</v>
      </c>
      <c r="B9" s="56" t="s">
        <v>149</v>
      </c>
    </row>
    <row r="10" customFormat="false" ht="31.5" hidden="false" customHeight="true" outlineLevel="0" collapsed="false">
      <c r="A10" s="55" t="s">
        <v>150</v>
      </c>
      <c r="B10" s="56" t="s">
        <v>151</v>
      </c>
    </row>
    <row r="11" customFormat="false" ht="31.5" hidden="false" customHeight="true" outlineLevel="0" collapsed="false">
      <c r="A11" s="55" t="s">
        <v>152</v>
      </c>
      <c r="B11" s="56" t="s">
        <v>153</v>
      </c>
    </row>
    <row r="12" customFormat="false" ht="31.5" hidden="false" customHeight="true" outlineLevel="0" collapsed="false">
      <c r="A12" s="55" t="inlineStr">
        <is>
          <t xml:space="preserve">⚠️ Hasılat düştü</t>
        </is>
      </c>
      <c r="B12" s="56" t="inlineStr">
        <is>
          <t xml:space="preserve">560.9 → 523.9 milyar TL (−6.6%). Brüt marj iyileşmesi daralan satışlarla birlikte geldi.</t>
        </is>
      </c>
    </row>
    <row r="13" customFormat="false" ht="24" hidden="false" customHeight="true" outlineLevel="0" collapsed="false">
      <c r="A13" s="53" t="s">
        <v>154</v>
      </c>
      <c r="B13" s="53"/>
    </row>
    <row r="14" customFormat="false" ht="31.5" hidden="false" customHeight="true" outlineLevel="0" collapsed="false">
      <c r="A14" s="55" t="s">
        <v>155</v>
      </c>
      <c r="B14" s="56" t="s">
        <v>156</v>
      </c>
    </row>
    <row r="15" customFormat="false" ht="31.5" hidden="false" customHeight="true" outlineLevel="0" collapsed="false">
      <c r="A15" s="55" t="s">
        <v>157</v>
      </c>
      <c r="B15" s="56" t="s">
        <v>158</v>
      </c>
    </row>
    <row r="16" customFormat="false" ht="31.5" hidden="false" customHeight="true" outlineLevel="0" collapsed="false">
      <c r="A16" s="55" t="s">
        <v>159</v>
      </c>
      <c r="B16" s="56" t="s">
        <v>160</v>
      </c>
    </row>
    <row r="17" customFormat="false" ht="31.5" hidden="false" customHeight="true" outlineLevel="0" collapsed="false">
      <c r="A17" s="55" t="s">
        <v>161</v>
      </c>
      <c r="B17" s="56" t="s">
        <v>162</v>
      </c>
    </row>
    <row r="18" customFormat="false" ht="31.5" hidden="false" customHeight="true" outlineLevel="0" collapsed="false">
      <c r="A18" s="55" t="s">
        <v>163</v>
      </c>
      <c r="B18" s="56" t="s">
        <v>164</v>
      </c>
    </row>
    <row r="19" customFormat="false" ht="31.5" hidden="false" customHeight="true" outlineLevel="0" collapsed="false">
      <c r="A19" s="55" t="inlineStr">
        <is>
          <t xml:space="preserve">❌ Net borç ve kaldıraç arttı</t>
        </is>
      </c>
      <c r="B19" s="56" t="inlineStr">
        <is>
          <t xml:space="preserve">Net borç 114.2 → 138.1 milyar TL (+21%); özkaynak 98.3 → 75.9 milyar TL (−23%). Nakit artışı borçla finanse edildi.</t>
        </is>
      </c>
    </row>
    <row r="20" customFormat="false" ht="24" hidden="false" customHeight="true" outlineLevel="0" collapsed="false">
      <c r="A20" s="53" t="s">
        <v>165</v>
      </c>
      <c r="B20" s="53"/>
    </row>
    <row r="21" customFormat="false" ht="49.5" hidden="false" customHeight="true" outlineLevel="0" collapsed="false">
      <c r="A21" s="57" t="s">
        <v>166</v>
      </c>
      <c r="B21" s="58" t="s">
        <v>167</v>
      </c>
    </row>
    <row r="22" customFormat="false" ht="49.5" hidden="false" customHeight="true" outlineLevel="0" collapsed="false">
      <c r="A22" s="57" t="s">
        <v>168</v>
      </c>
      <c r="B22" s="58" t="s">
        <v>169</v>
      </c>
    </row>
    <row r="23" customFormat="false" ht="49.5" hidden="false" customHeight="true" outlineLevel="0" collapsed="false">
      <c r="A23" s="57" t="s">
        <v>170</v>
      </c>
      <c r="B23" s="58" t="s">
        <v>171</v>
      </c>
    </row>
    <row r="24" customFormat="false" ht="49.5" hidden="false" customHeight="true" outlineLevel="0" collapsed="false">
      <c r="A24" s="57" t="s">
        <v>172</v>
      </c>
      <c r="B24" s="58" t="s">
        <v>173</v>
      </c>
    </row>
    <row r="25" customFormat="false" ht="49.5" hidden="false" customHeight="true" outlineLevel="0" collapsed="false">
      <c r="A25" s="57" t="s">
        <v>174</v>
      </c>
      <c r="B25" s="58" t="s">
        <v>175</v>
      </c>
    </row>
    <row r="27" customFormat="false" ht="15" hidden="false" customHeight="false" outlineLevel="0" collapsed="false">
      <c r="A27" s="17" t="s">
        <v>176</v>
      </c>
      <c r="B27" s="17"/>
    </row>
  </sheetData>
  <mergeCells count="8">
    <mergeCell ref="A1:B1"/>
    <mergeCell ref="A2:B2"/>
    <mergeCell ref="A4:B4"/>
    <mergeCell ref="A5:B5"/>
    <mergeCell ref="A7:B7"/>
    <mergeCell ref="A13:B13"/>
    <mergeCell ref="A20:B20"/>
    <mergeCell ref="A27:B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4" min="3" style="0" width="16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59" t="s">
        <v>177</v>
      </c>
      <c r="B1" s="59"/>
      <c r="C1" s="59"/>
      <c r="D1" s="59"/>
      <c r="E1" s="59"/>
    </row>
    <row r="2" customFormat="false" ht="15" hidden="false" customHeight="false" outlineLevel="0" collapsed="false">
      <c r="A2" s="23" t="s">
        <v>178</v>
      </c>
      <c r="B2" s="23"/>
      <c r="C2" s="23"/>
      <c r="D2" s="23"/>
      <c r="E2" s="23"/>
    </row>
    <row r="4" customFormat="false" ht="15" hidden="false" customHeight="false" outlineLevel="0" collapsed="false">
      <c r="A4" s="60" t="s">
        <v>179</v>
      </c>
      <c r="B4" s="60" t="s">
        <v>180</v>
      </c>
      <c r="C4" s="60" t="s">
        <v>181</v>
      </c>
      <c r="D4" s="60" t="s">
        <v>182</v>
      </c>
      <c r="E4" s="60" t="s">
        <v>183</v>
      </c>
    </row>
    <row r="5" customFormat="false" ht="15" hidden="false" customHeight="false" outlineLevel="0" collapsed="false">
      <c r="A5" s="61" t="s">
        <v>45</v>
      </c>
      <c r="B5" s="62" t="s">
        <v>55</v>
      </c>
      <c r="C5" s="63" t="n">
        <v>523933321</v>
      </c>
      <c r="D5" s="63" t="n">
        <v>560936754</v>
      </c>
      <c r="E5" s="61" t="s">
        <v>184</v>
      </c>
    </row>
    <row r="6" customFormat="false" ht="15" hidden="false" customHeight="false" outlineLevel="0" collapsed="false">
      <c r="A6" s="61" t="s">
        <v>56</v>
      </c>
      <c r="B6" s="62" t="s">
        <v>57</v>
      </c>
      <c r="C6" s="63" t="n">
        <v>373140054</v>
      </c>
      <c r="D6" s="63" t="n">
        <v>406350247</v>
      </c>
      <c r="E6" s="61" t="s">
        <v>184</v>
      </c>
    </row>
    <row r="7" customFormat="false" ht="15" hidden="false" customHeight="false" outlineLevel="0" collapsed="false">
      <c r="A7" s="61" t="s">
        <v>46</v>
      </c>
      <c r="B7" s="62" t="s">
        <v>58</v>
      </c>
      <c r="C7" s="63" t="n">
        <v>150793267</v>
      </c>
      <c r="D7" s="63" t="n">
        <v>154586507</v>
      </c>
      <c r="E7" s="61" t="s">
        <v>184</v>
      </c>
    </row>
    <row r="8" customFormat="false" ht="15" hidden="false" customHeight="false" outlineLevel="0" collapsed="false">
      <c r="A8" s="61" t="s">
        <v>59</v>
      </c>
      <c r="B8" s="62" t="s">
        <v>60</v>
      </c>
      <c r="C8" s="63" t="n">
        <v>103927285</v>
      </c>
      <c r="D8" s="63" t="n">
        <v>108281560</v>
      </c>
      <c r="E8" s="61" t="s">
        <v>184</v>
      </c>
    </row>
    <row r="9" customFormat="false" ht="15" hidden="false" customHeight="false" outlineLevel="0" collapsed="false">
      <c r="A9" s="61" t="s">
        <v>61</v>
      </c>
      <c r="B9" s="62" t="s">
        <v>62</v>
      </c>
      <c r="C9" s="63" t="n">
        <v>33379774</v>
      </c>
      <c r="D9" s="63" t="n">
        <v>32435620</v>
      </c>
      <c r="E9" s="61" t="s">
        <v>184</v>
      </c>
    </row>
    <row r="10" customFormat="false" ht="15" hidden="false" customHeight="false" outlineLevel="0" collapsed="false">
      <c r="A10" s="61" t="s">
        <v>63</v>
      </c>
      <c r="B10" s="62" t="s">
        <v>64</v>
      </c>
      <c r="C10" s="63" t="n">
        <v>6490885</v>
      </c>
      <c r="D10" s="63" t="n">
        <v>6346498</v>
      </c>
      <c r="E10" s="61" t="s">
        <v>184</v>
      </c>
    </row>
    <row r="11" customFormat="false" ht="15" hidden="false" customHeight="false" outlineLevel="0" collapsed="false">
      <c r="A11" s="61" t="s">
        <v>65</v>
      </c>
      <c r="B11" s="62" t="s">
        <v>66</v>
      </c>
      <c r="C11" s="63" t="n">
        <v>10494106</v>
      </c>
      <c r="D11" s="63" t="n">
        <v>9322710</v>
      </c>
      <c r="E11" s="61" t="s">
        <v>184</v>
      </c>
    </row>
    <row r="12" customFormat="false" ht="15" hidden="false" customHeight="false" outlineLevel="0" collapsed="false">
      <c r="A12" s="61" t="s">
        <v>67</v>
      </c>
      <c r="B12" s="62" t="s">
        <v>68</v>
      </c>
      <c r="C12" s="63" t="n">
        <v>47635992</v>
      </c>
      <c r="D12" s="63" t="n">
        <v>61910541</v>
      </c>
      <c r="E12" s="61" t="s">
        <v>184</v>
      </c>
    </row>
    <row r="13" customFormat="false" ht="15" hidden="false" customHeight="false" outlineLevel="0" collapsed="false">
      <c r="A13" s="61" t="s">
        <v>69</v>
      </c>
      <c r="B13" s="62" t="s">
        <v>70</v>
      </c>
      <c r="C13" s="63" t="n">
        <v>-9799313</v>
      </c>
      <c r="D13" s="63" t="n">
        <v>-2889171</v>
      </c>
      <c r="E13" s="61" t="s">
        <v>184</v>
      </c>
    </row>
    <row r="14" customFormat="false" ht="15" hidden="false" customHeight="false" outlineLevel="0" collapsed="false">
      <c r="A14" s="61" t="s">
        <v>73</v>
      </c>
      <c r="B14" s="62" t="s">
        <v>74</v>
      </c>
      <c r="C14" s="63" t="n">
        <v>97829154</v>
      </c>
      <c r="D14" s="63" t="n">
        <v>66514006</v>
      </c>
      <c r="E14" s="61" t="s">
        <v>185</v>
      </c>
    </row>
    <row r="15" customFormat="false" ht="15" hidden="false" customHeight="false" outlineLevel="0" collapsed="false">
      <c r="A15" s="61" t="s">
        <v>75</v>
      </c>
      <c r="B15" s="62" t="s">
        <v>76</v>
      </c>
      <c r="C15" s="63" t="n">
        <v>116612840</v>
      </c>
      <c r="D15" s="63" t="n">
        <v>121634257</v>
      </c>
      <c r="E15" s="61" t="s">
        <v>185</v>
      </c>
    </row>
    <row r="16" customFormat="false" ht="15" hidden="false" customHeight="false" outlineLevel="0" collapsed="false">
      <c r="A16" s="61" t="s">
        <v>77</v>
      </c>
      <c r="B16" s="62" t="s">
        <v>78</v>
      </c>
      <c r="C16" s="63" t="n">
        <v>89980222</v>
      </c>
      <c r="D16" s="63" t="n">
        <v>93880448</v>
      </c>
      <c r="E16" s="61" t="s">
        <v>185</v>
      </c>
    </row>
    <row r="17" customFormat="false" ht="15" hidden="false" customHeight="false" outlineLevel="0" collapsed="false">
      <c r="A17" s="61" t="s">
        <v>79</v>
      </c>
      <c r="B17" s="62" t="s">
        <v>80</v>
      </c>
      <c r="C17" s="63" t="n">
        <v>330746728</v>
      </c>
      <c r="D17" s="63" t="n">
        <v>300353563</v>
      </c>
      <c r="E17" s="61" t="s">
        <v>185</v>
      </c>
    </row>
    <row r="18" customFormat="false" ht="15" hidden="false" customHeight="false" outlineLevel="0" collapsed="false">
      <c r="A18" s="61" t="s">
        <v>81</v>
      </c>
      <c r="B18" s="62" t="s">
        <v>82</v>
      </c>
      <c r="C18" s="63" t="n">
        <v>543531612</v>
      </c>
      <c r="D18" s="63" t="n">
        <v>520592827</v>
      </c>
      <c r="E18" s="61" t="s">
        <v>185</v>
      </c>
    </row>
    <row r="19" customFormat="false" ht="15" hidden="false" customHeight="false" outlineLevel="0" collapsed="false">
      <c r="A19" s="61" t="s">
        <v>83</v>
      </c>
      <c r="B19" s="62" t="s">
        <v>84</v>
      </c>
      <c r="C19" s="63" t="n">
        <v>130363030</v>
      </c>
      <c r="D19" s="63" t="n">
        <v>134020121</v>
      </c>
      <c r="E19" s="61" t="s">
        <v>185</v>
      </c>
    </row>
    <row r="20" customFormat="false" ht="15" hidden="false" customHeight="false" outlineLevel="0" collapsed="false">
      <c r="A20" s="61" t="s">
        <v>85</v>
      </c>
      <c r="B20" s="62" t="s">
        <v>86</v>
      </c>
      <c r="C20" s="63" t="n">
        <v>115029066</v>
      </c>
      <c r="D20" s="63" t="n">
        <v>67250109</v>
      </c>
      <c r="E20" s="61" t="s">
        <v>185</v>
      </c>
    </row>
    <row r="21" customFormat="false" ht="15" hidden="false" customHeight="false" outlineLevel="0" collapsed="false">
      <c r="A21" s="61" t="s">
        <v>87</v>
      </c>
      <c r="B21" s="62" t="s">
        <v>88</v>
      </c>
      <c r="C21" s="63" t="n">
        <v>32919788</v>
      </c>
      <c r="D21" s="63" t="n">
        <v>14252329</v>
      </c>
      <c r="E21" s="61" t="s">
        <v>185</v>
      </c>
    </row>
    <row r="22" customFormat="false" ht="15" hidden="false" customHeight="false" outlineLevel="0" collapsed="false">
      <c r="A22" s="61" t="s">
        <v>89</v>
      </c>
      <c r="B22" s="62" t="s">
        <v>90</v>
      </c>
      <c r="C22" s="63" t="n">
        <v>340655670</v>
      </c>
      <c r="D22" s="63" t="n">
        <v>289582799</v>
      </c>
      <c r="E22" s="61" t="s">
        <v>185</v>
      </c>
    </row>
    <row r="23" customFormat="false" ht="15" hidden="false" customHeight="false" outlineLevel="0" collapsed="false">
      <c r="A23" s="61" t="s">
        <v>91</v>
      </c>
      <c r="B23" s="62" t="s">
        <v>92</v>
      </c>
      <c r="C23" s="63" t="n">
        <v>87949553</v>
      </c>
      <c r="D23" s="63" t="n">
        <v>99185334</v>
      </c>
      <c r="E23" s="61" t="s">
        <v>185</v>
      </c>
    </row>
    <row r="24" customFormat="false" ht="15" hidden="false" customHeight="false" outlineLevel="0" collapsed="false">
      <c r="A24" s="61" t="s">
        <v>93</v>
      </c>
      <c r="B24" s="62" t="s">
        <v>94</v>
      </c>
      <c r="C24" s="63" t="n">
        <v>467626459</v>
      </c>
      <c r="D24" s="63" t="n">
        <v>422340360</v>
      </c>
      <c r="E24" s="61" t="s">
        <v>185</v>
      </c>
    </row>
    <row r="25" customFormat="false" ht="15" hidden="false" customHeight="false" outlineLevel="0" collapsed="false">
      <c r="A25" s="61" t="s">
        <v>95</v>
      </c>
      <c r="B25" s="62" t="s">
        <v>96</v>
      </c>
      <c r="C25" s="63" t="n">
        <v>75905153</v>
      </c>
      <c r="D25" s="63" t="n">
        <v>98252467</v>
      </c>
      <c r="E25" s="61" t="s">
        <v>185</v>
      </c>
    </row>
    <row r="28" customFormat="false" ht="15" hidden="false" customHeight="false" outlineLevel="0" collapsed="false">
      <c r="A28" s="64" t="s">
        <v>186</v>
      </c>
    </row>
    <row r="29" customFormat="false" ht="15" hidden="false" customHeight="false" outlineLevel="0" collapsed="false">
      <c r="A29" s="65" t="s">
        <v>187</v>
      </c>
    </row>
    <row r="30" customFormat="false" ht="15" hidden="false" customHeight="false" outlineLevel="0" collapsed="false">
      <c r="A30" s="65" t="s">
        <v>188</v>
      </c>
    </row>
    <row r="31" customFormat="false" ht="15" hidden="false" customHeight="false" outlineLevel="0" collapsed="false">
      <c r="A31" s="65" t="s">
        <v>189</v>
      </c>
    </row>
    <row r="32" customFormat="false" ht="15" hidden="false" customHeight="false" outlineLevel="0" collapsed="false">
      <c r="A32" s="65" t="s">
        <v>190</v>
      </c>
    </row>
    <row r="33" customFormat="false" ht="15" hidden="false" customHeight="false" outlineLevel="0" collapsed="false">
      <c r="A33" s="65" t="s">
        <v>191</v>
      </c>
    </row>
    <row r="34" customFormat="false" ht="15" hidden="false" customHeight="false" outlineLevel="0" collapsed="false">
      <c r="A34" s="65" t="s">
        <v>192</v>
      </c>
    </row>
    <row r="35" customFormat="false" ht="15" hidden="false" customHeight="false" outlineLevel="0" collapsed="false">
      <c r="A35" s="65" t="s">
        <v>193</v>
      </c>
    </row>
    <row r="36" customFormat="false" ht="15" hidden="false" customHeight="false" outlineLevel="0" collapsed="false">
      <c r="A36" s="65"/>
    </row>
    <row r="37" customFormat="false" ht="15" hidden="false" customHeight="false" outlineLevel="0" collapsed="false">
      <c r="A37" s="65" t="s">
        <v>194</v>
      </c>
    </row>
    <row r="38" customFormat="false" ht="15" hidden="false" customHeight="false" outlineLevel="0" collapsed="false">
      <c r="A38" s="65" t="s">
        <v>195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2026-05-11T08:59:32Z</dcterms:created>
  <dc:creator>openpyxl</dc:creator>
  <dc:description/>
  <dc:language>en-US</dc:language>
  <cp:lastModifiedBy/>
  <dcterms:modified xsi:type="dcterms:W3CDTF">2026-05-11T08:59:35Z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